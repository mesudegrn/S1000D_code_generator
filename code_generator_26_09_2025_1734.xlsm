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macrosheets/sheet1.xml" ContentType="application/vnd.ms-excel.macro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BuÇalışmaKitabı"/>
  <mc:AlternateContent xmlns:mc="http://schemas.openxmlformats.org/markup-compatibility/2006">
    <mc:Choice Requires="x15">
      <x15ac:absPath xmlns:x15ac="http://schemas.microsoft.com/office/spreadsheetml/2010/11/ac" url="C:\Users\PC_4080\Downloads\"/>
    </mc:Choice>
  </mc:AlternateContent>
  <xr:revisionPtr revIDLastSave="0" documentId="8_{CB3D8454-CE88-496D-B27B-BEC483C4772B}" xr6:coauthVersionLast="47" xr6:coauthVersionMax="47" xr10:uidLastSave="{00000000-0000-0000-0000-000000000000}"/>
  <bookViews>
    <workbookView xWindow="-120" yWindow="-120" windowWidth="29040" windowHeight="15840" xr2:uid="{B3598D9A-1499-4F13-9EFC-FFDCD4B79EE4}"/>
  </bookViews>
  <sheets>
    <sheet name="Selection" sheetId="1" r:id="rId1"/>
    <sheet name="Output" sheetId="5" r:id="rId2"/>
    <sheet name="Database" sheetId="10" state="hidden" r:id="rId3"/>
    <sheet name="Sayfa3" sheetId="7" state="hidden" r:id="rId4"/>
    <sheet name="Codes" sheetId="3" state="hidden" r:id="rId5"/>
    <sheet name="Makro1" sheetId="9" state="hidden" r:id="rId6"/>
  </sheets>
  <definedNames>
    <definedName name="Faydalı_Yük">#REF!</definedName>
    <definedName name="FaydaliYuk">#REF!</definedName>
    <definedName name="Hava_Aracı_Sistemleri">#REF!</definedName>
    <definedName name="HavaAraci">#REF!</definedName>
    <definedName name="Kategori">#REF!</definedName>
    <definedName name="Yer_Sistemleri">#REF!</definedName>
    <definedName name="YerSistemleri">#REF!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1" l="1"/>
  <c r="C4" i="1"/>
  <c r="B4" i="1"/>
  <c r="E3" i="1"/>
  <c r="E2" i="1" l="1"/>
  <c r="B11" i="7"/>
  <c r="B20" i="7"/>
  <c r="B12" i="7"/>
  <c r="B13" i="7"/>
  <c r="B14" i="7"/>
  <c r="B15" i="7"/>
  <c r="B16" i="7"/>
  <c r="B17" i="7"/>
  <c r="B18" i="7"/>
  <c r="B19" i="7"/>
</calcChain>
</file>

<file path=xl/sharedStrings.xml><?xml version="1.0" encoding="utf-8"?>
<sst xmlns="http://schemas.openxmlformats.org/spreadsheetml/2006/main" count="1709" uniqueCount="633">
  <si>
    <t>Parent</t>
  </si>
  <si>
    <t>Definition</t>
  </si>
  <si>
    <t>General</t>
  </si>
  <si>
    <t>Environmental control</t>
  </si>
  <si>
    <t>Compression</t>
  </si>
  <si>
    <t>Distribution</t>
  </si>
  <si>
    <t>Pressurization control</t>
  </si>
  <si>
    <t>Heating</t>
  </si>
  <si>
    <t>Cooling</t>
  </si>
  <si>
    <t>Temperature control</t>
  </si>
  <si>
    <t>Moisture/air contaminant control</t>
  </si>
  <si>
    <t>Liquid/gas coolant</t>
  </si>
  <si>
    <t>Integrated environmental control system (ECS)</t>
  </si>
  <si>
    <t>Auto flight</t>
  </si>
  <si>
    <t>Autopilot</t>
  </si>
  <si>
    <t>Speed-attitude correction</t>
  </si>
  <si>
    <t>Auto throttle</t>
  </si>
  <si>
    <t>System monitor</t>
  </si>
  <si>
    <t>Aerodynamic load alleviating</t>
  </si>
  <si>
    <t>Automatically corrects/provides for gust load alleviation, suppression, ride control, etc.</t>
  </si>
  <si>
    <t>Communications</t>
  </si>
  <si>
    <t>Speech communication</t>
  </si>
  <si>
    <t>SATCOM</t>
  </si>
  <si>
    <t>Data transmission &amp; automatic calling</t>
  </si>
  <si>
    <t>Passenger address &amp; entertainment</t>
  </si>
  <si>
    <t>Interphone</t>
  </si>
  <si>
    <t>Audio integrating &amp; voice command</t>
  </si>
  <si>
    <t>Static discharging</t>
  </si>
  <si>
    <t>Audio and video monitoring</t>
  </si>
  <si>
    <t>Integrated automatic tuning</t>
  </si>
  <si>
    <t>Maintains integrated control of radios/navigation transmitters.</t>
  </si>
  <si>
    <t>Electrical power</t>
  </si>
  <si>
    <t>Generator drive</t>
  </si>
  <si>
    <t>AC generation</t>
  </si>
  <si>
    <t>DC generation</t>
  </si>
  <si>
    <t>External power</t>
  </si>
  <si>
    <t>AC electrical load distribution</t>
  </si>
  <si>
    <t>DC electrical load distribution</t>
  </si>
  <si>
    <t>Electrical monitoring/protection</t>
  </si>
  <si>
    <t>Electrical power multiplexing</t>
  </si>
  <si>
    <t>Multipurpose equipment</t>
  </si>
  <si>
    <t>Equipment/furnishings</t>
  </si>
  <si>
    <t>Flight compartment</t>
  </si>
  <si>
    <t>Passenger/operating crew compartment</t>
  </si>
  <si>
    <t>Passenger/crew accommodation.</t>
  </si>
  <si>
    <t>Buffet/galley</t>
  </si>
  <si>
    <t>Area where food/beverages stored.</t>
  </si>
  <si>
    <t>Lavatories</t>
  </si>
  <si>
    <t>Toilet/dressing areas.</t>
  </si>
  <si>
    <t>Additional compartments</t>
  </si>
  <si>
    <t>Extra compartments for crew/equipment.</t>
  </si>
  <si>
    <t>Emergency</t>
  </si>
  <si>
    <t>Equipment for emergency (rafts, jackets, medical kits, oxygen, etc.)</t>
  </si>
  <si>
    <t>Available for projects</t>
  </si>
  <si>
    <t>Insulation and lining</t>
  </si>
  <si>
    <t>Standard practices applicable to all airframe systems.</t>
  </si>
  <si>
    <t>That portion of the system and its controls which supplies compressed air. Includes items such as controls and indicating systems related to the compressors, wiring, etc. Includes the pressure control and indicating system used in pressurization.</t>
  </si>
  <si>
    <t>That portion of the system used to induct and distribute air. Includes equipment rack cooling, canopy/door seals, anti-g, demisting, waveguide pressurization system and items of system such as in blowers, scoops, ducts, indicators, wiring, etc. Does not include valves which are part of pressurization and temperature control.</t>
  </si>
  <si>
    <t>That portion of the system used to control the pressure within the fuselage. Includes items such as control valves, relief valves, indicators, switches, amplifiers, wiring, etc.</t>
  </si>
  <si>
    <t>That portion of the system and its controls which supply heated air. Includes items such as heater units, fuel system, ignition, ignition indicating systems related to heater operation, wiring, etc. Does not include temperature control and indicating systems.</t>
  </si>
  <si>
    <t>That portion of the system and its controls which supply cooled air. Includes items such as cooling units, piping, ducting, controls, indicators, wiring, etc. Does not include temperature control and indicating systems.</t>
  </si>
  <si>
    <t>That portion of the system which provides integrated functionality for conditioned, cooled, liquid pressurized air, NBC filtration, and emergency operation to sustain crew and component operation over wide range of temperatures. This includes avionics (component racks) cooling.</t>
  </si>
  <si>
    <t>Sections -10 thru -90 are used to describe standard practice. The manufacturer or manufacturing partners can assign the section numbers to suit generic standard practices related to more than one airframe system.</t>
  </si>
  <si>
    <t>Just general.</t>
  </si>
  <si>
    <t>That portion of the system used to control the temperature of the air. Includes items such as control valves, thermal sensing devices, switches, indicators, amplifiers, wiring, etc.</t>
  </si>
  <si>
    <t>That portion of the system used to control moisture in the air, to control ozone concentrations, to filter radioactive debris and chemical/biological contaminants from conditioned air, and to treat the air with deodorizers, insecticides, etc.</t>
  </si>
  <si>
    <t xml:space="preserve">Those components required to supply liquid/gas coolant to an equipment cooling system.
</t>
  </si>
  <si>
    <t xml:space="preserve">That portion of the system that uses radio/radar signals, directional and vertical references, air data (pitot static), computed flight path data, or manually induced inputs to the system to automatically control the flight path of the air vehicle through adjustment to the pitch/roll/yaw axis or wing lift characteristics and provide visual cues for flight path guidance (ie, Integrated Flight Director). This includes power source devices, interlocking devices and amplifying, computing, integrating, controlling, actuating, indicating and warning devices such as computers, servos, control panels, indicators, warning lights, etc.
</t>
  </si>
  <si>
    <t>That portion of the system that automatically maintains safe
flight conditions by correcting for effects of speed and out-oftrim conditions by such means as automatic trim, mach trim or
speed stability and mach feel. This includes sensing,
computing, actuating, indicating, internal monitoring, and
warning devices, etc.</t>
  </si>
  <si>
    <t>That portion of the system that automatically controls the
position of the throttles to properly manage engine power
during all phases of flight/attitude. This includes engaging,
sensing, computing, amplifying, controlling, actuating and
warning devices such as amplifiers, computers, servos, limit
switches, clutches, gear boxes, warning lights, etc.</t>
  </si>
  <si>
    <t>That which provides separate or external monitoring/remote
readout (for maintenance or other purposes) not directly
related to the internal system monitoring (for system integrity
flight crew warning). This includes sensing, computing,
indicating and warning devices, control panels, etc.</t>
  </si>
  <si>
    <t>The system or portion of the system that automatically
corrects/provides for gust loading/ upset, aerodynamic
augmentation/ alleviations/ suppression, ride control, etc. This
includes sensing, computing, actuating indicating internal
monitoring, warning devices, etc.</t>
  </si>
  <si>
    <t>That portion of the system which utilizes voice modulated
electromagnetic waves to transmit and/or receive
messages from air to air, or air to ground installations.
Includes HF, VHF, UHF, etc, in-flight telephone,
communication transmitting and receiving equipment</t>
  </si>
  <si>
    <t>That portion of the system which utilizes satellite
communication systems (SATCOM).</t>
  </si>
  <si>
    <t>That portion of the system which presents information
derived from pulse coded transmissions. Includes
Teleprinter, Selcal, Calsel, ACARS, etc.</t>
  </si>
  <si>
    <t>That portion of the system used to address and entertain
the passengers. Includes items such as amplifiers,
speakers, handsets, reproducers, control panels, etc. Also
includes items of audio, video and film equipment.</t>
  </si>
  <si>
    <t>That portion of the system which is used by flight and
ground personnel to communicate between areas on the
air vehicle. Includes items such as amplifier, handset, etc.
Does not include the interphone system within the flight
compartment which is part of the integrating system.</t>
  </si>
  <si>
    <t>That portion of the system which controls the output of the
communications and navigation receivers into the flight
crew headphones and speakers and the output of the flight
crew microphones into the communications transmitters.
Includes items such as audio selector control panel,
microphones, headphones, cockpit loudspeakers, etc. Also
includes those items which provide for voice command
systems used by the operating crew members. (Not
including items which are components of an associated air
vehicle system).</t>
  </si>
  <si>
    <t>That portion of the system which is used to dissipate static
electricity.</t>
  </si>
  <si>
    <t>Those installations that record, or monitor crew or
passenger conversation or movement for security of safety
purposes. Includes voice recorders, television, monitors,
etc.</t>
  </si>
  <si>
    <t>That portion of the system which maintains integrated
control of the operating frequencies of communication and
navigation transmitter/receivers after either a manually
inserted command or a preprogrammed integrated flight
system command. Includes such items as integrated
frequency selector panels, digital frequency control
computers, integrated frequency display panels, etc.</t>
  </si>
  <si>
    <t>Mechanical devices that drive the generators at a desired
RPM. Includes items such as oil system, connecting devices,
indicating and warning systems for the drive, ram air turbine,
etc.</t>
  </si>
  <si>
    <t>That portion of the systems used to generate, regulate,
control, and indicate AC electrical power. Includes items such
as inverters, AC generators/alternators, control and regulating
components, indicating systems etc, all wiring to but not
including main busses.</t>
  </si>
  <si>
    <t>That portion of the systems used to generate, regulate,
control and indicate DC electrical power. Includes items such
as generators/alternators, transformers, rectifiers, batteries,
control and regulating components, indicating systems etc, all
wiring to but not including main busses.</t>
  </si>
  <si>
    <t>That portion of the system within the air vehicle which
connects external electrical power to the air vehicle’s
electrical system. Includes items such as receptacles, relays,
switches, wiring, warning lights, etc.</t>
  </si>
  <si>
    <t>That portion of the system which provides for connection of
AC power to using systems. Includes items such as main and
secondary busses, main system circuit breakers, power
system devices, etc.</t>
  </si>
  <si>
    <t>That portion of the system which provides for connection of
DC power to using systems. Includes items such as main and
secondary busses, main system circuit breakers, power
system devices, etc.</t>
  </si>
  <si>
    <t>That portion of the system used to supply aircraft or ground
power to use the ground power switching system, avionics
low cooling protection system, essential 28 V DC bus
monitoring system and system monitoring. Also includes air
vehicle grounding receptacles.</t>
  </si>
  <si>
    <t>Those units or components which provide for multiplexing of
electrical power. Includes computers, remote terminals and
related interfaces to transmit electrical power control signals.</t>
  </si>
  <si>
    <t>Those units or components which are applicable to more than
one system or system interfaces, such as junction boxes,
relay panels, terminal blocks, etc.</t>
  </si>
  <si>
    <t>The compartment above the floor and between the
forward passenger partition and the forward pressure
dome. Includes items such as flight crew seats,
tables, pilot check lists and food containers,
wardrobes, curtains, manuals, electronic equipment
rack, spare bulbs, fuses, etc. Does not include cargo
compartments.</t>
  </si>
  <si>
    <t>The areas in which the passengers/operating crew
are accommodated. Includes lounges but not
dressing rooms. Includes items such as seats,
consoles, equipment racks, berths, overhead storage
compartments, curtains, wall coverings, carpets,
magazine racks, movable partitions, wall type
thermometers, spare bulbs, fuses, etc.</t>
  </si>
  <si>
    <t>21</t>
  </si>
  <si>
    <t>23</t>
  </si>
  <si>
    <t>24</t>
  </si>
  <si>
    <t>25</t>
  </si>
  <si>
    <t>Standard practices , Airframe systems</t>
  </si>
  <si>
    <t>(empty, manufacturer can assign)1</t>
  </si>
  <si>
    <t>(empty, manufacturer can assign)2</t>
  </si>
  <si>
    <t>(empty, manufacturer can assign)3</t>
  </si>
  <si>
    <t>(empty, manufacturer can assign)4</t>
  </si>
  <si>
    <t>(empty, manufacturer can assign)5</t>
  </si>
  <si>
    <t>(empty, manufacturer can assign)6</t>
  </si>
  <si>
    <t>(empty, manufacturer can assign)7</t>
  </si>
  <si>
    <t>(empty, manufacturer can assign)8</t>
  </si>
  <si>
    <t>(empty, manufacturer can assign)9</t>
  </si>
  <si>
    <t>Hava Aracı</t>
  </si>
  <si>
    <t>Yer Sistemleri</t>
  </si>
  <si>
    <t>00</t>
  </si>
  <si>
    <t>10</t>
  </si>
  <si>
    <t>20</t>
  </si>
  <si>
    <t>30</t>
  </si>
  <si>
    <t>40</t>
  </si>
  <si>
    <t>50</t>
  </si>
  <si>
    <t>60</t>
  </si>
  <si>
    <t>70</t>
  </si>
  <si>
    <t>80</t>
  </si>
  <si>
    <t>90</t>
  </si>
  <si>
    <t>General2</t>
  </si>
  <si>
    <t>General3</t>
  </si>
  <si>
    <t>General4</t>
  </si>
  <si>
    <t>General5</t>
  </si>
  <si>
    <t>General6</t>
  </si>
  <si>
    <t>Faydalı Yük</t>
  </si>
  <si>
    <t xml:space="preserve">Recovery </t>
  </si>
  <si>
    <t xml:space="preserve">Air vehicle wiring </t>
  </si>
  <si>
    <t xml:space="preserve">Radar </t>
  </si>
  <si>
    <t xml:space="preserve">Surveillance </t>
  </si>
  <si>
    <t xml:space="preserve">Weapons system </t>
  </si>
  <si>
    <t xml:space="preserve">Crew escape and safety </t>
  </si>
  <si>
    <t xml:space="preserve">Parachute 
recovery 
system </t>
  </si>
  <si>
    <t xml:space="preserve">Impact 
attenuation 
system </t>
  </si>
  <si>
    <t>Sequencing system</t>
  </si>
  <si>
    <t xml:space="preserve">Location 
system </t>
  </si>
  <si>
    <t xml:space="preserve">Air vehicle 
wiring </t>
  </si>
  <si>
    <t xml:space="preserve">General </t>
  </si>
  <si>
    <t>Frequency 
generation</t>
  </si>
  <si>
    <t>Transmission</t>
  </si>
  <si>
    <t>Reception</t>
  </si>
  <si>
    <t>Processing</t>
  </si>
  <si>
    <t xml:space="preserve">Beam control </t>
  </si>
  <si>
    <t xml:space="preserve">Power supply 
and safety </t>
  </si>
  <si>
    <t>Conditioning</t>
  </si>
  <si>
    <t xml:space="preserve">Built-in tests </t>
  </si>
  <si>
    <t>Data Processing</t>
  </si>
  <si>
    <t>Data Display</t>
  </si>
  <si>
    <t>Recording</t>
  </si>
  <si>
    <t>Identification</t>
  </si>
  <si>
    <t>Infrared Sensors</t>
  </si>
  <si>
    <t>Laser Sensors</t>
  </si>
  <si>
    <t>Surveillance radar</t>
  </si>
  <si>
    <t>Magnetic Sensors</t>
  </si>
  <si>
    <t>Sonar Sensors</t>
  </si>
  <si>
    <t>Weapon release</t>
  </si>
  <si>
    <t>Weapon suspension</t>
  </si>
  <si>
    <t>Gunnery</t>
  </si>
  <si>
    <t>Weapon Control</t>
  </si>
  <si>
    <t>Ejection Seats</t>
  </si>
  <si>
    <t>Escape 
hatches/canopy</t>
  </si>
  <si>
    <t>Capsule 
ejection</t>
  </si>
  <si>
    <t xml:space="preserve">Available for 
projects </t>
  </si>
  <si>
    <t>Global survival kits</t>
  </si>
  <si>
    <t xml:space="preserve">Impact 
protection and 
floatation </t>
  </si>
  <si>
    <t xml:space="preserve">Capsule flight </t>
  </si>
  <si>
    <t>AŞAĞIDAKİ SALLAMASYON</t>
  </si>
  <si>
    <t>A</t>
  </si>
  <si>
    <t>B</t>
  </si>
  <si>
    <t>C</t>
  </si>
  <si>
    <t>D</t>
  </si>
  <si>
    <t>E</t>
  </si>
  <si>
    <t>F</t>
  </si>
  <si>
    <t>G</t>
  </si>
  <si>
    <t>H</t>
  </si>
  <si>
    <t>I</t>
  </si>
  <si>
    <t>J</t>
  </si>
  <si>
    <t>K</t>
  </si>
  <si>
    <t>Uzun</t>
  </si>
  <si>
    <t>İnce</t>
  </si>
  <si>
    <t>Bir</t>
  </si>
  <si>
    <t>Yoldayım</t>
  </si>
  <si>
    <t>Gidiyorum</t>
  </si>
  <si>
    <t>Kategori</t>
  </si>
  <si>
    <t>Sistem Kodu</t>
  </si>
  <si>
    <t>Sistem İsmi</t>
  </si>
  <si>
    <t>Sistem Kategorisi İsmi</t>
  </si>
  <si>
    <t>Sistem Kategorisi Kodu</t>
  </si>
  <si>
    <t>Kategori İsimleri</t>
  </si>
  <si>
    <t>Kategori Kodları</t>
  </si>
  <si>
    <t>AltSistem Kodu</t>
  </si>
  <si>
    <t>AltSistem Adı</t>
  </si>
  <si>
    <t>YerSistemleri</t>
  </si>
  <si>
    <t>HavaAraci</t>
  </si>
  <si>
    <t>FaydaliYuk</t>
  </si>
  <si>
    <t>L</t>
  </si>
  <si>
    <t>M</t>
  </si>
  <si>
    <t>Gündüz Gece</t>
  </si>
  <si>
    <t xml:space="preserve">Parachute recovery system </t>
  </si>
  <si>
    <t xml:space="preserve">Impact attenuation system </t>
  </si>
  <si>
    <t xml:space="preserve">Location system </t>
  </si>
  <si>
    <t>a</t>
  </si>
  <si>
    <t>c</t>
  </si>
  <si>
    <t>e</t>
  </si>
  <si>
    <t>g</t>
  </si>
  <si>
    <t>k</t>
  </si>
  <si>
    <t>s</t>
  </si>
  <si>
    <t>Recovery</t>
  </si>
  <si>
    <t>y</t>
  </si>
  <si>
    <t>ı</t>
  </si>
  <si>
    <t>z</t>
  </si>
  <si>
    <t>x</t>
  </si>
  <si>
    <t>q</t>
  </si>
  <si>
    <t>Sistem Adı:</t>
  </si>
  <si>
    <t>Altsistem Adı:</t>
  </si>
  <si>
    <t>Üretilen Kod:</t>
  </si>
  <si>
    <t>Flight Controls</t>
  </si>
  <si>
    <t>Roll Control</t>
  </si>
  <si>
    <t>Yaw Control</t>
  </si>
  <si>
    <t>Pitch Control</t>
  </si>
  <si>
    <t>Horizontal stabilizers</t>
  </si>
  <si>
    <t>Flaps</t>
  </si>
  <si>
    <t xml:space="preserve">Spoilers, drag 
devices and 
variable 
aerodynamic 
fairings </t>
  </si>
  <si>
    <t xml:space="preserve">Gust lock and 
damper </t>
  </si>
  <si>
    <t>Lift augmenting</t>
  </si>
  <si>
    <t xml:space="preserve">Primary Flight 
Control System 
(PFCS) </t>
  </si>
  <si>
    <t xml:space="preserve">Fuel </t>
  </si>
  <si>
    <t>Storage</t>
  </si>
  <si>
    <t>Dump</t>
  </si>
  <si>
    <t>Indicating</t>
  </si>
  <si>
    <t xml:space="preserve">In-flight 
refueling </t>
  </si>
  <si>
    <t xml:space="preserve">Fuel/center of 
gravity 
management </t>
  </si>
  <si>
    <t>Hydraulic 
power</t>
  </si>
  <si>
    <t>Main</t>
  </si>
  <si>
    <t>Auxiliary</t>
  </si>
  <si>
    <t xml:space="preserve">Ice and rain 
protection </t>
  </si>
  <si>
    <t>Fire protection</t>
  </si>
  <si>
    <t>Detection</t>
  </si>
  <si>
    <t>Extinguishing</t>
  </si>
  <si>
    <t>Explosion suppression</t>
  </si>
  <si>
    <t>Airfoil</t>
  </si>
  <si>
    <t>Air intakes</t>
  </si>
  <si>
    <t xml:space="preserve">Pitot and static </t>
  </si>
  <si>
    <t>Windows, 
windshields, 
canopies and 
doors</t>
  </si>
  <si>
    <t xml:space="preserve">Antennas and 
radomes </t>
  </si>
  <si>
    <t>Propellers/rotors</t>
  </si>
  <si>
    <t xml:space="preserve">Water lines </t>
  </si>
  <si>
    <t xml:space="preserve">Detection </t>
  </si>
  <si>
    <t xml:space="preserve"> Indicating/recording systems</t>
  </si>
  <si>
    <t>Instrument and 
control panels</t>
  </si>
  <si>
    <t xml:space="preserve">Independent 
instruments </t>
  </si>
  <si>
    <t>Recorders</t>
  </si>
  <si>
    <t xml:space="preserve">General computers </t>
  </si>
  <si>
    <t xml:space="preserve">Central warning 
systems </t>
  </si>
  <si>
    <t xml:space="preserve">Display systems </t>
  </si>
  <si>
    <t>Automatic data 
reporting systems</t>
  </si>
  <si>
    <t xml:space="preserve">Landing gear </t>
  </si>
  <si>
    <t xml:space="preserve">Main gear and 
doors </t>
  </si>
  <si>
    <t xml:space="preserve">Nose/tail gear 
and doors </t>
  </si>
  <si>
    <t xml:space="preserve">Extension and 
retraction </t>
  </si>
  <si>
    <t xml:space="preserve">Wheels and 
brakes </t>
  </si>
  <si>
    <t xml:space="preserve">Steering and 
maneuvering </t>
  </si>
  <si>
    <t xml:space="preserve">Position and 
warning </t>
  </si>
  <si>
    <t xml:space="preserve">Supplementary 
gear </t>
  </si>
  <si>
    <t xml:space="preserve">Drag chute </t>
  </si>
  <si>
    <t xml:space="preserve">Arresting 
hook/landing 
assistance 
equipment </t>
  </si>
  <si>
    <t>Lights</t>
  </si>
  <si>
    <t xml:space="preserve">Flight 
compartment </t>
  </si>
  <si>
    <t xml:space="preserve">Passenger 
compartments </t>
  </si>
  <si>
    <t xml:space="preserve">Cargo and 
service 
compartments </t>
  </si>
  <si>
    <t xml:space="preserve">Exterior </t>
  </si>
  <si>
    <t>Emergency 
lighting</t>
  </si>
  <si>
    <t xml:space="preserve">Navigation </t>
  </si>
  <si>
    <t xml:space="preserve">Flight 
environment 
data </t>
  </si>
  <si>
    <t xml:space="preserve">Attitude and 
direction </t>
  </si>
  <si>
    <t xml:space="preserve">Landing and 
taxiing aids </t>
  </si>
  <si>
    <t xml:space="preserve">Independent 
position 
determining </t>
  </si>
  <si>
    <t xml:space="preserve">Dependent 
position 
determining </t>
  </si>
  <si>
    <t xml:space="preserve">Flight 
management 
computing </t>
  </si>
  <si>
    <t xml:space="preserve">Environment 
surveillance 
system </t>
  </si>
  <si>
    <t xml:space="preserve"> Oxygen </t>
  </si>
  <si>
    <t xml:space="preserve">Crew </t>
  </si>
  <si>
    <t>Passenger</t>
  </si>
  <si>
    <t>Portable</t>
  </si>
  <si>
    <t xml:space="preserve">On board 
oxygen 
generating 
system </t>
  </si>
  <si>
    <t xml:space="preserve">Pneumatic </t>
  </si>
  <si>
    <t xml:space="preserve">Distribution </t>
  </si>
  <si>
    <t xml:space="preserve">Indicating 
</t>
  </si>
  <si>
    <t>Vacuum</t>
  </si>
  <si>
    <t xml:space="preserve">Water/waste </t>
  </si>
  <si>
    <t>Potable</t>
  </si>
  <si>
    <t>Wash</t>
  </si>
  <si>
    <t xml:space="preserve">Waste disposal 
</t>
  </si>
  <si>
    <t xml:space="preserve">Air supply </t>
  </si>
  <si>
    <t>Attack system management</t>
  </si>
  <si>
    <t>Architecture 
management</t>
  </si>
  <si>
    <t xml:space="preserve">Attack system 
functions </t>
  </si>
  <si>
    <t xml:space="preserve">Attack system 
resources </t>
  </si>
  <si>
    <t xml:space="preserve">General rules 
of man
machine 
communication </t>
  </si>
  <si>
    <t>Digital networks</t>
  </si>
  <si>
    <t xml:space="preserve">Other 
information 
networks </t>
  </si>
  <si>
    <t xml:space="preserve">Stores 
management </t>
  </si>
  <si>
    <t>Operational 
attack 
functions</t>
  </si>
  <si>
    <t xml:space="preserve">Navigational 
functions </t>
  </si>
  <si>
    <t>Nap of the 
earth flight</t>
  </si>
  <si>
    <t>Self-protection</t>
  </si>
  <si>
    <t xml:space="preserve">Information 
exchange and 
cooperation </t>
  </si>
  <si>
    <t xml:space="preserve">Identification </t>
  </si>
  <si>
    <t>Air-to-air 
functions</t>
  </si>
  <si>
    <t>Air-to-surface 
functions</t>
  </si>
  <si>
    <t xml:space="preserve"> Water ballast</t>
  </si>
  <si>
    <t xml:space="preserve">Storage </t>
  </si>
  <si>
    <t xml:space="preserve">Indication </t>
  </si>
  <si>
    <t xml:space="preserve"> Cross-technical attack functions </t>
  </si>
  <si>
    <t>Mission system 
control and 
management</t>
  </si>
  <si>
    <t>Trajectory 
management</t>
  </si>
  <si>
    <t xml:space="preserve">Attack system 
compatibilities 
management </t>
  </si>
  <si>
    <t xml:space="preserve">Tactical 
situation 
awareness </t>
  </si>
  <si>
    <t>Mission 
preparation</t>
  </si>
  <si>
    <t>Mission 
restitution</t>
  </si>
  <si>
    <t xml:space="preserve">Warnings and 
cautions 
management </t>
  </si>
  <si>
    <t xml:space="preserve"> Integrated modular avionics  
Note </t>
  </si>
  <si>
    <t xml:space="preserve">Core System </t>
  </si>
  <si>
    <t xml:space="preserve">Network 
Components </t>
  </si>
  <si>
    <t xml:space="preserve">Tactical communications </t>
  </si>
  <si>
    <t>Ultra, super and 
extra high 
frequencies 
(UHF/SHF/EHF)</t>
  </si>
  <si>
    <t>Very high 
frequency (VHF)</t>
  </si>
  <si>
    <t xml:space="preserve">High frequency 
(HF) </t>
  </si>
  <si>
    <t xml:space="preserve">Low and very low 
frequency 
(LF/VLF) </t>
  </si>
  <si>
    <t>Audio integrating</t>
  </si>
  <si>
    <t xml:space="preserve">Digital </t>
  </si>
  <si>
    <t xml:space="preserve">Multiplex and 
audio switching </t>
  </si>
  <si>
    <t xml:space="preserve">Interphone and 
passenger 
address </t>
  </si>
  <si>
    <t>Satellite 
communications</t>
  </si>
  <si>
    <t xml:space="preserve">Cabin systems </t>
  </si>
  <si>
    <t xml:space="preserve">Cabin core 
system </t>
  </si>
  <si>
    <t xml:space="preserve">Inflight 
entertainment 
system </t>
  </si>
  <si>
    <t xml:space="preserve">External 
communication 
system </t>
  </si>
  <si>
    <t>Cabin mass 
memory system</t>
  </si>
  <si>
    <t>Cabin 
monitoring 
system</t>
  </si>
  <si>
    <t xml:space="preserve">Miscellaneous 
cabin system </t>
  </si>
  <si>
    <t xml:space="preserve">Central maintenance system (CMS) </t>
  </si>
  <si>
    <t>BU KISMI SORR</t>
  </si>
  <si>
    <t>INDEX LIST</t>
  </si>
  <si>
    <t>235.20.001</t>
  </si>
  <si>
    <t>235.20.002</t>
  </si>
  <si>
    <t>235.20.003</t>
  </si>
  <si>
    <t>235.20.004</t>
  </si>
  <si>
    <t>235.20.005</t>
  </si>
  <si>
    <t>235.20.007</t>
  </si>
  <si>
    <t>235.20.008</t>
  </si>
  <si>
    <t>235.20.009</t>
  </si>
  <si>
    <t xml:space="preserve">Liquid nitrogen </t>
  </si>
  <si>
    <t xml:space="preserve">Generation/storage </t>
  </si>
  <si>
    <t>Controlling</t>
  </si>
  <si>
    <t xml:space="preserve">In-flight refueling tanker </t>
  </si>
  <si>
    <t>Delivery</t>
  </si>
  <si>
    <t>Controls</t>
  </si>
  <si>
    <t xml:space="preserve">Airborne 
auxiliary 
power </t>
  </si>
  <si>
    <t>Power plant</t>
  </si>
  <si>
    <t>Engine</t>
  </si>
  <si>
    <t xml:space="preserve">Engine fuel and 
control </t>
  </si>
  <si>
    <t>Ignition/starting</t>
  </si>
  <si>
    <t>Air</t>
  </si>
  <si>
    <t>Engine controls</t>
  </si>
  <si>
    <t xml:space="preserve">Engine 
indicating </t>
  </si>
  <si>
    <t>Exhaust</t>
  </si>
  <si>
    <t>Oil</t>
  </si>
  <si>
    <t>Cargo and accessory compartment</t>
  </si>
  <si>
    <t>Cargo 
compartments</t>
  </si>
  <si>
    <t xml:space="preserve">Cargo loading 
systems </t>
  </si>
  <si>
    <t xml:space="preserve">Cargo related 
systems </t>
  </si>
  <si>
    <t>Aerial delivery</t>
  </si>
  <si>
    <t xml:space="preserve">Accessory 
compartments </t>
  </si>
  <si>
    <t>Insulation</t>
  </si>
  <si>
    <t xml:space="preserve"> Standard practices - Structures</t>
  </si>
  <si>
    <t>Investigation, 
cleanup and 
aerodynamic 
smoothness</t>
  </si>
  <si>
    <t>Processes</t>
  </si>
  <si>
    <t>Materials</t>
  </si>
  <si>
    <t>Fasteners</t>
  </si>
  <si>
    <t xml:space="preserve">Support of 
airplane for 
repair and 
alignment 
check 
procedures </t>
  </si>
  <si>
    <t>Control-surface 
balancing</t>
  </si>
  <si>
    <t>Repairs</t>
  </si>
  <si>
    <t>Electrical 
bonding</t>
  </si>
  <si>
    <t>Doors</t>
  </si>
  <si>
    <t>Passenger/crew</t>
  </si>
  <si>
    <t>Emergency exit</t>
  </si>
  <si>
    <t>Cargo</t>
  </si>
  <si>
    <t xml:space="preserve">Service and 
miscellaneous </t>
  </si>
  <si>
    <t xml:space="preserve">Fixed interior </t>
  </si>
  <si>
    <t>Entrance stairs</t>
  </si>
  <si>
    <t xml:space="preserve">Door warning </t>
  </si>
  <si>
    <t>Fuselage</t>
  </si>
  <si>
    <t xml:space="preserve">Fuselage 
sections1 </t>
  </si>
  <si>
    <t>Fuselage 
sections 2</t>
  </si>
  <si>
    <t>Fuselage 
sections 3</t>
  </si>
  <si>
    <t>Fuselage 
sections 4</t>
  </si>
  <si>
    <t>Fuselage 
sections 5</t>
  </si>
  <si>
    <t>Fuselage 
sections 6</t>
  </si>
  <si>
    <t>Fuselage 
sections 7</t>
  </si>
  <si>
    <t>Fuselage 
sections 8</t>
  </si>
  <si>
    <t>Fuselage 
sections 9</t>
  </si>
  <si>
    <t xml:space="preserve">Nacelles/pylons </t>
  </si>
  <si>
    <t>Nacelle section</t>
  </si>
  <si>
    <t>Pylon</t>
  </si>
  <si>
    <t>Air management</t>
  </si>
  <si>
    <t>Stabilizers</t>
  </si>
  <si>
    <t xml:space="preserve">Horizontal 
stabilizer or 
canard </t>
  </si>
  <si>
    <t>Elevator</t>
  </si>
  <si>
    <t>Vertical 
stabilizer</t>
  </si>
  <si>
    <t>Rudder</t>
  </si>
  <si>
    <t xml:space="preserve">Auxiliary 
stabilizers and 
strakes </t>
  </si>
  <si>
    <t>Windows and canopies</t>
  </si>
  <si>
    <t xml:space="preserve">Fuselage 
compartment </t>
  </si>
  <si>
    <t>Door</t>
  </si>
  <si>
    <t xml:space="preserve">Inspection and 
observation </t>
  </si>
  <si>
    <t>Wings</t>
  </si>
  <si>
    <t>Center wing</t>
  </si>
  <si>
    <t xml:space="preserve">Outer wing </t>
  </si>
  <si>
    <t xml:space="preserve">Wing tip </t>
  </si>
  <si>
    <t xml:space="preserve">Leading edge 
and leading 
edge devices </t>
  </si>
  <si>
    <t>Trailing edge 
and trailing 
edge devices</t>
  </si>
  <si>
    <t>Ailerons, 
elevons and 
flaperons</t>
  </si>
  <si>
    <t>Spoilers</t>
  </si>
  <si>
    <t>Wing folding</t>
  </si>
  <si>
    <t xml:space="preserve">Standard 
practices, 
Propeller/rotor </t>
  </si>
  <si>
    <t xml:space="preserve">Sections -10 thru -90 are used to describe standard practices. 
The manufacturer or manufacturing partners can assign the 
section numbers to suit generic standard practices related to 
more than one propeller or rotor system. </t>
  </si>
  <si>
    <t xml:space="preserve"> Systems integration and display</t>
  </si>
  <si>
    <t>Acquisition</t>
  </si>
  <si>
    <t xml:space="preserve">Processing and 
integration </t>
  </si>
  <si>
    <t>Display</t>
  </si>
  <si>
    <t xml:space="preserve">Systems 
integration, 
software 
packages </t>
  </si>
  <si>
    <t xml:space="preserve"> Propellers/propulsors </t>
  </si>
  <si>
    <t xml:space="preserve">Propeller assembly </t>
  </si>
  <si>
    <t>Braking</t>
  </si>
  <si>
    <t>Propulsor duct</t>
  </si>
  <si>
    <t xml:space="preserve"> Main rotors </t>
  </si>
  <si>
    <t>Rotor blades</t>
  </si>
  <si>
    <t xml:space="preserve">Rotor heads </t>
  </si>
  <si>
    <t xml:space="preserve">Rotating 
controls, rotor 
shafts/swash 
plate 
assemblies </t>
  </si>
  <si>
    <t xml:space="preserve">Main rotor drives </t>
  </si>
  <si>
    <t>Engine/gearbox 
couplings</t>
  </si>
  <si>
    <t>Gearboxes</t>
  </si>
  <si>
    <t xml:space="preserve">Mounts and 
attachments </t>
  </si>
  <si>
    <t xml:space="preserve">Indicating </t>
  </si>
  <si>
    <t xml:space="preserve">Tail rotor </t>
  </si>
  <si>
    <t xml:space="preserve">Rotor blades </t>
  </si>
  <si>
    <t xml:space="preserve">Rotor head </t>
  </si>
  <si>
    <t xml:space="preserve">Rotating 
controls </t>
  </si>
  <si>
    <t xml:space="preserve"> Tail rotor drive</t>
  </si>
  <si>
    <t>Shafts</t>
  </si>
  <si>
    <t xml:space="preserve">Not available 
for projects </t>
  </si>
  <si>
    <t xml:space="preserve"> Folding blades/pylon</t>
  </si>
  <si>
    <t xml:space="preserve">Tail pylon </t>
  </si>
  <si>
    <t xml:space="preserve">Controls and 
indicating </t>
  </si>
  <si>
    <t xml:space="preserve"> Rotors flight control </t>
  </si>
  <si>
    <t>Rotor control</t>
  </si>
  <si>
    <t>Anti-torque 
rotor control 
(yaw control)</t>
  </si>
  <si>
    <t xml:space="preserve">Servo-control 
system </t>
  </si>
  <si>
    <t xml:space="preserve">Marking and 
masking </t>
  </si>
  <si>
    <t>Cleaning and 
coating 
removal</t>
  </si>
  <si>
    <t>Inspection</t>
  </si>
  <si>
    <t xml:space="preserve">Repair 
principles </t>
  </si>
  <si>
    <t xml:space="preserve">Surface 
preparation </t>
  </si>
  <si>
    <t>Coating 
application</t>
  </si>
  <si>
    <t xml:space="preserve">Assembly </t>
  </si>
  <si>
    <t>Disassembly</t>
  </si>
  <si>
    <t xml:space="preserve">Power plant </t>
  </si>
  <si>
    <t>Cowling</t>
  </si>
  <si>
    <t>Mounts</t>
  </si>
  <si>
    <t>Fire seals</t>
  </si>
  <si>
    <t>Attach fittings</t>
  </si>
  <si>
    <t xml:space="preserve">Electrical 
harness </t>
  </si>
  <si>
    <t xml:space="preserve">Air intakes </t>
  </si>
  <si>
    <t>Engine drains</t>
  </si>
  <si>
    <t xml:space="preserve">Engine 
ancillary 
systems </t>
  </si>
  <si>
    <t>Engine turbine/turboprop Ducted fan/inducted fan</t>
  </si>
  <si>
    <t>Reduction gear, 
shaft section 
(turboprop and/or 
front mounted 
gear driven 
propulsor)</t>
  </si>
  <si>
    <t xml:space="preserve">Air inlet section </t>
  </si>
  <si>
    <t xml:space="preserve">Compressor 
section </t>
  </si>
  <si>
    <t>Combustion 
section</t>
  </si>
  <si>
    <t>Turbine section</t>
  </si>
  <si>
    <t xml:space="preserve">Accessory drives </t>
  </si>
  <si>
    <t xml:space="preserve">By-pass section </t>
  </si>
  <si>
    <t xml:space="preserve">Propulsor section 
(rear mounted) </t>
  </si>
  <si>
    <t>Multi-system 
hardware</t>
  </si>
  <si>
    <t>Engine reciprocating</t>
  </si>
  <si>
    <t xml:space="preserve"> Engine fuel and control </t>
  </si>
  <si>
    <t>Ignition</t>
  </si>
  <si>
    <t>Electrical 
power supply</t>
  </si>
  <si>
    <t>Switching</t>
  </si>
  <si>
    <t>Engine anti
icing</t>
  </si>
  <si>
    <t xml:space="preserve">Compressor 
control </t>
  </si>
  <si>
    <t xml:space="preserve">Air intake 
foreign object 
removal </t>
  </si>
  <si>
    <t xml:space="preserve">Power control </t>
  </si>
  <si>
    <t xml:space="preserve">Emergency 
shutdown </t>
  </si>
  <si>
    <t>Power</t>
  </si>
  <si>
    <t>Temperature</t>
  </si>
  <si>
    <t>Analyzers</t>
  </si>
  <si>
    <t xml:space="preserve">Integrated 
engine 
instrument 
systems </t>
  </si>
  <si>
    <t>Collector/nozzle</t>
  </si>
  <si>
    <t xml:space="preserve">Noise suppressor </t>
  </si>
  <si>
    <t>Thrust reverser</t>
  </si>
  <si>
    <t xml:space="preserve">Supplementary air </t>
  </si>
  <si>
    <t>Augmenter</t>
  </si>
  <si>
    <t>Dissipation/deflection</t>
  </si>
  <si>
    <t>Starting</t>
  </si>
  <si>
    <t>Cranking</t>
  </si>
  <si>
    <t>Turbines</t>
  </si>
  <si>
    <t xml:space="preserve">Power recovery </t>
  </si>
  <si>
    <t xml:space="preserve">Turbo
supercharger </t>
  </si>
  <si>
    <t>Water 
injection</t>
  </si>
  <si>
    <t xml:space="preserve">Dumping and 
purging </t>
  </si>
  <si>
    <t>Accessory gearboxes</t>
  </si>
  <si>
    <t xml:space="preserve">Drive shaft 
section </t>
  </si>
  <si>
    <t xml:space="preserve">Gearbox 
section </t>
  </si>
  <si>
    <t>Propulsion 
augmentation</t>
  </si>
  <si>
    <t xml:space="preserve">Jet assist 
takeoff </t>
  </si>
  <si>
    <t>Fuel cell system</t>
  </si>
  <si>
    <t xml:space="preserve">Fuel cell stack </t>
  </si>
  <si>
    <t xml:space="preserve">Fuel storage 
and supply </t>
  </si>
  <si>
    <t xml:space="preserve">Oxidant storage 
and supply </t>
  </si>
  <si>
    <t xml:space="preserve">Thermal 
management </t>
  </si>
  <si>
    <t xml:space="preserve">Power 
conditioning </t>
  </si>
  <si>
    <t>Exhaust 
conditioning</t>
  </si>
  <si>
    <t>Interface</t>
  </si>
  <si>
    <t>Lift system</t>
  </si>
  <si>
    <t>Fan</t>
  </si>
  <si>
    <t>Drive shaft</t>
  </si>
  <si>
    <t xml:space="preserve">Variable area 
nozzle </t>
  </si>
  <si>
    <t xml:space="preserve">Roll control </t>
  </si>
  <si>
    <t xml:space="preserve"> Missiles, drones and telemetry</t>
  </si>
  <si>
    <t xml:space="preserve">Surface to 
surface 
missiles </t>
  </si>
  <si>
    <t xml:space="preserve">Surface to air 
missiles </t>
  </si>
  <si>
    <t>Drones</t>
  </si>
  <si>
    <t>Telemetry</t>
  </si>
  <si>
    <t xml:space="preserve"> Image recording</t>
  </si>
  <si>
    <t xml:space="preserve">Strike camera </t>
  </si>
  <si>
    <t>Bomb bay 
system camera</t>
  </si>
  <si>
    <t>Fire control 
camera system</t>
  </si>
  <si>
    <t>Instrumentation 
camera system</t>
  </si>
  <si>
    <t>Range camera 
system</t>
  </si>
  <si>
    <t xml:space="preserve">Reconnaissance 
camera system </t>
  </si>
  <si>
    <t xml:space="preserve">Image recorder </t>
  </si>
  <si>
    <t>Meteorological and atmospheric research</t>
  </si>
  <si>
    <t>Weather</t>
  </si>
  <si>
    <t xml:space="preserve">Clear air turbulence </t>
  </si>
  <si>
    <t>Pollutants</t>
  </si>
  <si>
    <t xml:space="preserve">Magnetic/gravitational </t>
  </si>
  <si>
    <t xml:space="preserve"> Electronic warfare</t>
  </si>
  <si>
    <t>Active, electro
magnetic</t>
  </si>
  <si>
    <t>Passive, 
electro-
magnetic</t>
  </si>
  <si>
    <t xml:space="preserve">Elint (Electronic 
intelligence) </t>
  </si>
  <si>
    <t>Infrared (IR)</t>
  </si>
  <si>
    <t>Laser</t>
  </si>
  <si>
    <t>Faydalı yük</t>
  </si>
  <si>
    <t xml:space="preserve"> Standard practices, Engine </t>
  </si>
  <si>
    <t>271.70.001</t>
  </si>
  <si>
    <t>271.70.002</t>
  </si>
  <si>
    <t>271.70.004</t>
  </si>
  <si>
    <t>271.70.005</t>
  </si>
  <si>
    <t>N/A</t>
  </si>
  <si>
    <t>21.0.001</t>
  </si>
  <si>
    <t>24.30.001</t>
  </si>
  <si>
    <t>237.30.001</t>
  </si>
  <si>
    <t>223.60.001</t>
  </si>
  <si>
    <t>221.60.001</t>
  </si>
  <si>
    <t>224.60.001</t>
  </si>
  <si>
    <t>224.60.005</t>
  </si>
  <si>
    <t>224.60.006</t>
  </si>
  <si>
    <t>Alt</t>
  </si>
  <si>
    <t>Ana</t>
  </si>
  <si>
    <t>134.3.001</t>
  </si>
  <si>
    <t>134.3.002</t>
  </si>
  <si>
    <t>134.3.003</t>
  </si>
  <si>
    <t>134.3.004</t>
  </si>
  <si>
    <t>1.34.3.001</t>
  </si>
  <si>
    <t>1.34.3.002</t>
  </si>
  <si>
    <t>1.34.3.003</t>
  </si>
  <si>
    <t>134.31.001</t>
  </si>
  <si>
    <t>134.31.002</t>
  </si>
  <si>
    <t>134.31.003</t>
  </si>
  <si>
    <t>134.31.004</t>
  </si>
  <si>
    <t>134.30.001</t>
  </si>
  <si>
    <t>134.30.005</t>
  </si>
  <si>
    <t>134.30.006</t>
  </si>
  <si>
    <t>134.30.007</t>
  </si>
  <si>
    <t>134.30.008</t>
  </si>
  <si>
    <t>134.30.009</t>
  </si>
  <si>
    <t>134.3.005</t>
  </si>
  <si>
    <t>134.3.006</t>
  </si>
  <si>
    <t>134.3.007</t>
  </si>
  <si>
    <t>134.3.008</t>
  </si>
  <si>
    <t>134.30.010</t>
  </si>
  <si>
    <t>134.31.005</t>
  </si>
  <si>
    <t>134.31.006</t>
  </si>
  <si>
    <t>134.31.007</t>
  </si>
  <si>
    <t>134.31.008</t>
  </si>
  <si>
    <t>134.31.009</t>
  </si>
  <si>
    <t>134.31.010</t>
  </si>
  <si>
    <t>134.31.011</t>
  </si>
  <si>
    <t>Indicating/recording systems</t>
  </si>
  <si>
    <t xml:space="preserve">Oxygen </t>
  </si>
  <si>
    <t>Operational attack functions</t>
  </si>
  <si>
    <t>Water ballast</t>
  </si>
  <si>
    <t xml:space="preserve">Cross-technical attack functions </t>
  </si>
  <si>
    <t>Integrated modular avionics</t>
  </si>
  <si>
    <t>Systems integration and display</t>
  </si>
  <si>
    <t xml:space="preserve">Airborne auxiliary power </t>
  </si>
  <si>
    <t>Standard practices - Structures</t>
  </si>
  <si>
    <t xml:space="preserve">Standard practices, Propeller/rotor </t>
  </si>
  <si>
    <t xml:space="preserve">Propellers/propulsors </t>
  </si>
  <si>
    <t xml:space="preserve">Main rotors </t>
  </si>
  <si>
    <t>Tail rotor drive</t>
  </si>
  <si>
    <t>Folding blades/pylon</t>
  </si>
  <si>
    <t xml:space="preserve">Rotors flight control </t>
  </si>
  <si>
    <t xml:space="preserve">Standard practices, Engine </t>
  </si>
  <si>
    <t xml:space="preserve">Engine fuel and control </t>
  </si>
  <si>
    <t xml:space="preserve">Engine controls </t>
  </si>
  <si>
    <t xml:space="preserve">Engine indicating </t>
  </si>
  <si>
    <t>Water injection</t>
  </si>
  <si>
    <t>Propulsion augmentation</t>
  </si>
  <si>
    <t>Missiles, drones and telemetry</t>
  </si>
  <si>
    <t>Image recording</t>
  </si>
  <si>
    <t>Electronic warfare</t>
  </si>
  <si>
    <t>138.11.001</t>
  </si>
  <si>
    <t>138.01.001</t>
  </si>
  <si>
    <t>138.41.001</t>
  </si>
  <si>
    <t>144.41.001</t>
  </si>
  <si>
    <t>144.41.002</t>
  </si>
  <si>
    <t>144.41.003</t>
  </si>
  <si>
    <t>129.90.001</t>
  </si>
  <si>
    <t>Alt kategori:</t>
  </si>
  <si>
    <t>Kategori:</t>
  </si>
  <si>
    <t>125.31.001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</si>
</sst>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entury Gothic"/>
      <family val="2"/>
      <charset val="162"/>
      <scheme val="minor"/>
    </font>
    <font>
      <b/>
      <sz val="11"/>
      <color theme="1"/>
      <name val="Century Gothic"/>
      <family val="2"/>
      <charset val="162"/>
      <scheme val="minor"/>
    </font>
    <font>
      <sz val="8"/>
      <name val="Century Gothic"/>
      <family val="2"/>
      <charset val="162"/>
      <scheme val="minor"/>
    </font>
    <font>
      <b/>
      <sz val="11"/>
      <color rgb="FFFF0000"/>
      <name val="Century Gothic"/>
      <family val="2"/>
      <charset val="162"/>
      <scheme val="minor"/>
    </font>
    <font>
      <sz val="11"/>
      <color rgb="FF000000"/>
      <name val="Calibri"/>
      <family val="2"/>
      <charset val="162"/>
    </font>
    <font>
      <b/>
      <sz val="22"/>
      <color theme="0"/>
      <name val="Century Gothic"/>
      <family val="2"/>
      <charset val="162"/>
      <scheme val="minor"/>
    </font>
    <font>
      <b/>
      <sz val="24"/>
      <color theme="0"/>
      <name val="Century Gothic"/>
      <family val="2"/>
      <charset val="162"/>
      <scheme val="minor"/>
    </font>
    <font>
      <sz val="9"/>
      <color rgb="FF000000"/>
      <name val="Calibri"/>
      <family val="2"/>
      <charset val="162"/>
    </font>
  </fonts>
  <fills count="13">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rgb="FFFFC000"/>
        <bgColor indexed="64"/>
      </patternFill>
    </fill>
    <fill>
      <patternFill patternType="solid">
        <fgColor theme="5"/>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7"/>
        <bgColor indexed="64"/>
      </patternFill>
    </fill>
  </fills>
  <borders count="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s>
  <cellStyleXfs count="1">
    <xf numFmtId="0" fontId="0" fillId="0" borderId="0"/>
  </cellStyleXfs>
  <cellXfs count="57">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16" fontId="0" fillId="0" borderId="0" xfId="0" applyNumberFormat="1" applyAlignment="1">
      <alignment vertical="center" wrapText="1"/>
    </xf>
    <xf numFmtId="49" fontId="1" fillId="0" borderId="0" xfId="0" applyNumberFormat="1" applyFont="1" applyAlignment="1">
      <alignment horizontal="center" vertical="center" wrapText="1"/>
    </xf>
    <xf numFmtId="49" fontId="0" fillId="0" borderId="0" xfId="0" applyNumberFormat="1" applyAlignment="1">
      <alignment vertical="center" wrapText="1"/>
    </xf>
    <xf numFmtId="0" fontId="0" fillId="0" borderId="0" xfId="0" applyAlignment="1">
      <alignment wrapText="1"/>
    </xf>
    <xf numFmtId="49" fontId="0" fillId="2" borderId="0" xfId="0" applyNumberFormat="1" applyFill="1" applyAlignment="1">
      <alignment vertical="center" wrapText="1"/>
    </xf>
    <xf numFmtId="0" fontId="0" fillId="2" borderId="0" xfId="0" applyFill="1" applyAlignment="1">
      <alignment vertical="center" wrapText="1"/>
    </xf>
    <xf numFmtId="0" fontId="0" fillId="2" borderId="0" xfId="0" applyFill="1"/>
    <xf numFmtId="0" fontId="3" fillId="0" borderId="0" xfId="0" applyFont="1"/>
    <xf numFmtId="49" fontId="0" fillId="0" borderId="0" xfId="0" applyNumberFormat="1" applyAlignment="1">
      <alignment horizontal="right" vertical="center" wrapText="1"/>
    </xf>
    <xf numFmtId="49" fontId="0" fillId="0" borderId="0" xfId="0" applyNumberFormat="1"/>
    <xf numFmtId="0" fontId="0" fillId="3" borderId="0" xfId="0" applyFill="1" applyAlignment="1">
      <alignment vertical="center" wrapText="1"/>
    </xf>
    <xf numFmtId="49" fontId="0" fillId="3" borderId="0" xfId="0" applyNumberFormat="1" applyFill="1"/>
    <xf numFmtId="0" fontId="0" fillId="3" borderId="0" xfId="0" applyFill="1" applyAlignment="1">
      <alignment wrapText="1"/>
    </xf>
    <xf numFmtId="0" fontId="0" fillId="4" borderId="0" xfId="0" applyFill="1" applyAlignment="1">
      <alignment vertical="center" wrapText="1"/>
    </xf>
    <xf numFmtId="49" fontId="0" fillId="5" borderId="0" xfId="0" applyNumberFormat="1" applyFill="1"/>
    <xf numFmtId="49" fontId="0" fillId="0" borderId="0" xfId="0" applyNumberFormat="1" applyAlignment="1">
      <alignment horizontal="left"/>
    </xf>
    <xf numFmtId="0" fontId="0" fillId="5" borderId="0" xfId="0" applyFill="1" applyAlignment="1">
      <alignment wrapText="1"/>
    </xf>
    <xf numFmtId="0" fontId="0" fillId="5" borderId="0" xfId="0" applyFill="1" applyAlignment="1">
      <alignment vertical="center" wrapText="1"/>
    </xf>
    <xf numFmtId="0" fontId="0" fillId="5" borderId="0" xfId="0" applyFill="1"/>
    <xf numFmtId="0" fontId="0" fillId="6" borderId="0" xfId="0" applyFill="1" applyAlignment="1">
      <alignment vertical="center" wrapText="1"/>
    </xf>
    <xf numFmtId="0" fontId="0" fillId="0" borderId="1" xfId="0" applyBorder="1" applyAlignment="1">
      <alignment wrapText="1"/>
    </xf>
    <xf numFmtId="0" fontId="0" fillId="5" borderId="2" xfId="0" applyFill="1" applyBorder="1" applyAlignment="1">
      <alignment vertical="center" wrapText="1"/>
    </xf>
    <xf numFmtId="0" fontId="0" fillId="0" borderId="2" xfId="0" applyBorder="1" applyAlignment="1">
      <alignment vertical="center" wrapText="1"/>
    </xf>
    <xf numFmtId="0" fontId="0" fillId="0" borderId="0" xfId="0" quotePrefix="1" applyAlignment="1">
      <alignment vertical="center" wrapText="1"/>
    </xf>
    <xf numFmtId="0" fontId="0" fillId="0" borderId="2" xfId="0" applyBorder="1"/>
    <xf numFmtId="0" fontId="0" fillId="8" borderId="2" xfId="0" applyFill="1" applyBorder="1"/>
    <xf numFmtId="0" fontId="0" fillId="8" borderId="2" xfId="0" applyFill="1" applyBorder="1" applyAlignment="1">
      <alignment vertical="center" wrapText="1"/>
    </xf>
    <xf numFmtId="0" fontId="0" fillId="8" borderId="2" xfId="0" applyFill="1" applyBorder="1" applyAlignment="1">
      <alignment wrapText="1"/>
    </xf>
    <xf numFmtId="0" fontId="0" fillId="9" borderId="2" xfId="0" applyFill="1" applyBorder="1"/>
    <xf numFmtId="0" fontId="0" fillId="9" borderId="2" xfId="0" applyFill="1" applyBorder="1" applyAlignment="1">
      <alignment vertical="center" wrapText="1"/>
    </xf>
    <xf numFmtId="0" fontId="0" fillId="9" borderId="2" xfId="0" quotePrefix="1" applyFill="1" applyBorder="1" applyAlignment="1">
      <alignment vertical="center" wrapText="1"/>
    </xf>
    <xf numFmtId="0" fontId="0" fillId="9" borderId="2" xfId="0" applyFill="1" applyBorder="1" applyAlignment="1">
      <alignment wrapText="1"/>
    </xf>
    <xf numFmtId="0" fontId="0" fillId="10" borderId="2" xfId="0" applyFill="1" applyBorder="1"/>
    <xf numFmtId="0" fontId="5" fillId="11" borderId="2" xfId="0" applyFont="1" applyFill="1" applyBorder="1"/>
    <xf numFmtId="0" fontId="0" fillId="11" borderId="2" xfId="0" applyFill="1" applyBorder="1" applyAlignment="1">
      <alignment wrapText="1"/>
    </xf>
    <xf numFmtId="0" fontId="0" fillId="11" borderId="2" xfId="0" applyFill="1" applyBorder="1"/>
    <xf numFmtId="0" fontId="0" fillId="11" borderId="0" xfId="0" applyFill="1"/>
    <xf numFmtId="0" fontId="0" fillId="12" borderId="2" xfId="0" applyFill="1" applyBorder="1" applyAlignment="1">
      <alignment wrapText="1"/>
    </xf>
    <xf numFmtId="0" fontId="0" fillId="8" borderId="3" xfId="0" applyFill="1" applyBorder="1"/>
    <xf numFmtId="0" fontId="0" fillId="9" borderId="3" xfId="0" applyFill="1" applyBorder="1"/>
    <xf numFmtId="0" fontId="0" fillId="8" borderId="3" xfId="0" applyFill="1" applyBorder="1" applyAlignment="1">
      <alignment wrapText="1"/>
    </xf>
    <xf numFmtId="0" fontId="0" fillId="7" borderId="0" xfId="0" applyFill="1"/>
    <xf numFmtId="0" fontId="0" fillId="0" borderId="4" xfId="0" applyBorder="1"/>
    <xf numFmtId="0" fontId="0" fillId="0" borderId="3" xfId="0" applyBorder="1"/>
    <xf numFmtId="0" fontId="0" fillId="0" borderId="5" xfId="0" applyBorder="1"/>
    <xf numFmtId="0" fontId="0" fillId="0" borderId="6" xfId="0" applyBorder="1"/>
    <xf numFmtId="0" fontId="0" fillId="0" borderId="8" xfId="0" applyBorder="1"/>
    <xf numFmtId="0" fontId="0" fillId="0" borderId="7" xfId="0" applyBorder="1"/>
    <xf numFmtId="49" fontId="6" fillId="7" borderId="7" xfId="0" applyNumberFormat="1" applyFont="1" applyFill="1" applyBorder="1" applyAlignment="1">
      <alignment horizontal="center" vertical="center"/>
    </xf>
    <xf numFmtId="0" fontId="0" fillId="8" borderId="6" xfId="0" applyFill="1" applyBorder="1"/>
    <xf numFmtId="0" fontId="0" fillId="8" borderId="6" xfId="0" applyFill="1" applyBorder="1" applyAlignment="1">
      <alignment vertical="center" wrapText="1"/>
    </xf>
    <xf numFmtId="0" fontId="0" fillId="8" borderId="6" xfId="0" applyFill="1" applyBorder="1" applyAlignment="1">
      <alignment wrapText="1"/>
    </xf>
    <xf numFmtId="0" fontId="0" fillId="11" borderId="6" xfId="0" applyFill="1" applyBorder="1" applyAlignment="1">
      <alignment wrapText="1"/>
    </xf>
    <xf numFmtId="0" fontId="0" fillId="0" borderId="0" xfId="0" applyAlignment="1">
      <alignment horizontal="center"/>
    </xf>
  </cellXfs>
  <cellStyles count="1">
    <cellStyle name="Normal" xfId="0" builtinId="0"/>
  </cellStyles>
  <dxfs count="5">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xlMacrosheet" Target="macrosheets/sheet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22" fmlaLink="$A$4" fmlaRange="Sayfa3!$E$2:$E$4" noThreeD="1" sel="1" val="0"/>
</file>

<file path=xl/ctrlProps/ctrlProp2.xml><?xml version="1.0" encoding="utf-8"?>
<formControlPr xmlns="http://schemas.microsoft.com/office/spreadsheetml/2009/9/main" objectType="Drop" dropStyle="combo" dx="22" fmlaLink="$B$3" fmlaRange="Sayfa3!$W$48:$W$130" noThreeD="1" sel="6" val="0"/>
</file>

<file path=xl/ctrlProps/ctrlProp3.xml><?xml version="1.0" encoding="utf-8"?>
<formControlPr xmlns="http://schemas.microsoft.com/office/spreadsheetml/2009/9/main" objectType="Drop" dropStyle="combo" dx="22" fmlaLink="$C$3" fmlaRange="Sayfa3!$B$11:$B$20" noThreeD="1" sel="4"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22" fmlaLink="$D$3" fmlaRange="Sayfa3!$H$2:$H$3" noThreeD="1" sel="2" val="0"/>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104775</xdr:rowOff>
        </xdr:from>
        <xdr:to>
          <xdr:col>0</xdr:col>
          <xdr:colOff>2247900</xdr:colOff>
          <xdr:row>1</xdr:row>
          <xdr:rowOff>600075</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xdr:row>
          <xdr:rowOff>123825</xdr:rowOff>
        </xdr:from>
        <xdr:to>
          <xdr:col>1</xdr:col>
          <xdr:colOff>2343150</xdr:colOff>
          <xdr:row>1</xdr:row>
          <xdr:rowOff>590550</xdr:rowOff>
        </xdr:to>
        <xdr:sp macro="" textlink="">
          <xdr:nvSpPr>
            <xdr:cNvPr id="1041" name="Drop Dow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133350</xdr:rowOff>
        </xdr:from>
        <xdr:to>
          <xdr:col>2</xdr:col>
          <xdr:colOff>2038350</xdr:colOff>
          <xdr:row>1</xdr:row>
          <xdr:rowOff>581025</xdr:rowOff>
        </xdr:to>
        <xdr:sp macro="" textlink="">
          <xdr:nvSpPr>
            <xdr:cNvPr id="1042" name="Drop Dow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5</xdr:row>
          <xdr:rowOff>76200</xdr:rowOff>
        </xdr:from>
        <xdr:to>
          <xdr:col>3</xdr:col>
          <xdr:colOff>28575</xdr:colOff>
          <xdr:row>7</xdr:row>
          <xdr:rowOff>190500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cs typeface="Calibri"/>
                </a:rPr>
                <a:t>Kod Üretmek İçin Tıklayınız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xdr:row>
          <xdr:rowOff>133350</xdr:rowOff>
        </xdr:from>
        <xdr:to>
          <xdr:col>3</xdr:col>
          <xdr:colOff>2038350</xdr:colOff>
          <xdr:row>1</xdr:row>
          <xdr:rowOff>581025</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8</xdr:row>
          <xdr:rowOff>200025</xdr:rowOff>
        </xdr:from>
        <xdr:to>
          <xdr:col>3</xdr:col>
          <xdr:colOff>28575</xdr:colOff>
          <xdr:row>10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900" b="0" i="0" u="none" strike="noStrike" baseline="0">
                  <a:solidFill>
                    <a:srgbClr val="000000"/>
                  </a:solidFill>
                  <a:latin typeface="Calibri"/>
                  <a:cs typeface="Calibri"/>
                </a:rPr>
                <a:t>Output Verilerini Aktarmak İçin Tıklayınız</a:t>
              </a:r>
            </a:p>
          </xdr:txBody>
        </xdr:sp>
        <xdr:clientData fPrintsWithSheet="0"/>
      </xdr:twoCellAnchor>
    </mc:Choice>
    <mc:Fallback/>
  </mc:AlternateContent>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52FF86CB-7FC4-4A83-8F57-3D764BCB3010}">
  <dimension ref="A1"/>
  <sheetViews>
    <sheetView showFormulas="1" workbookViewId="0"/>
  </sheetViews>
  <sheetFormatPr defaultRowHeight="16.5" x14ac:dyDescent="0.3"/>
  <sheetData/>
  <pageMargins left="0.7" right="0.7" top="0.75" bottom="0.75" header="0.3" footer="0.3"/>
</xm:macro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B88444-5695-4E76-98C7-76DE56D791C7}" name="Tablo2" displayName="Tablo2" ref="A1:E4" totalsRowShown="0" headerRowDxfId="4">
  <autoFilter ref="A1:E4" xr:uid="{ACB88444-5695-4E76-98C7-76DE56D791C7}"/>
  <tableColumns count="5">
    <tableColumn id="1" xr3:uid="{65E9084B-CDEA-442F-BF9D-25F130A0701C}" name="Kategori:" dataDxfId="3"/>
    <tableColumn id="2" xr3:uid="{2CB81709-B433-4365-B13C-D40FDF672823}" name="Sistem Adı:" dataDxfId="2"/>
    <tableColumn id="3" xr3:uid="{D8300969-9258-4810-84FD-D56926D8D9AC}" name="Altsistem Adı:" dataDxfId="1"/>
    <tableColumn id="4" xr3:uid="{F8833343-9C51-405B-8266-E34C8AEEAFF5}" name="Alt kategori:" dataDxfId="0"/>
    <tableColumn id="5" xr3:uid="{9408CB15-750D-48C0-8A17-4C184B44A470}" name="Üretilen Kod:"/>
  </tableColumns>
  <tableStyleInfo name="TableStyleMedium20" showFirstColumn="0" showLastColumn="0" showRowStripes="1" showColumnStripes="0"/>
</table>
</file>

<file path=xl/theme/theme1.xml><?xml version="1.0" encoding="utf-8"?>
<a:theme xmlns:a="http://schemas.openxmlformats.org/drawingml/2006/main" name="Uçak İzi">
  <a:themeElements>
    <a:clrScheme name="Sıcak Mavi">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Uçak İzi">
      <a:majorFont>
        <a:latin typeface="Century Gothic" panose="020B0502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Uçak İzi">
      <a:fillStyleLst>
        <a:solidFill>
          <a:schemeClr val="phClr"/>
        </a:solidFill>
        <a:gradFill rotWithShape="1">
          <a:gsLst>
            <a:gs pos="0">
              <a:schemeClr val="phClr">
                <a:tint val="69000"/>
                <a:alpha val="100000"/>
                <a:satMod val="109000"/>
                <a:lumMod val="110000"/>
              </a:schemeClr>
            </a:gs>
            <a:gs pos="52000">
              <a:schemeClr val="phClr">
                <a:tint val="74000"/>
                <a:satMod val="100000"/>
                <a:lumMod val="104000"/>
              </a:schemeClr>
            </a:gs>
            <a:gs pos="100000">
              <a:schemeClr val="phClr">
                <a:tint val="78000"/>
                <a:satMod val="100000"/>
                <a:lumMod val="100000"/>
              </a:schemeClr>
            </a:gs>
          </a:gsLst>
          <a:lin ang="5400000" scaled="0"/>
        </a:gradFill>
        <a:gradFill rotWithShape="1">
          <a:gsLst>
            <a:gs pos="0">
              <a:schemeClr val="phClr">
                <a:tint val="96000"/>
                <a:satMod val="100000"/>
                <a:lumMod val="104000"/>
              </a:schemeClr>
            </a:gs>
            <a:gs pos="78000">
              <a:schemeClr val="phClr">
                <a:shade val="100000"/>
                <a:satMod val="110000"/>
                <a:lumMod val="100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cene3d>
            <a:camera prst="orthographicFront">
              <a:rot lat="0" lon="0" rev="0"/>
            </a:camera>
            <a:lightRig rig="threePt" dir="t"/>
          </a:scene3d>
          <a:sp3d>
            <a:bevelT w="25400" h="12700"/>
          </a:sp3d>
        </a:effectStyle>
        <a:effectStyle>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Vapor Trail" id="{4FDF2955-7D9C-493C-B9F9-C205151B46CD}" vid="{8F31A783-2159-4870-BC29-2BA7D038EA44}"/>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table" Target="../tables/table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image" Target="../media/image1.jpeg"/><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9A4D9-4674-4B3C-8CE0-CAB5DC58F746}">
  <sheetPr codeName="Sayfa1"/>
  <dimension ref="A1:E5"/>
  <sheetViews>
    <sheetView showGridLines="0" tabSelected="1" zoomScale="118" zoomScaleNormal="118" workbookViewId="0">
      <selection activeCell="D12" sqref="D12"/>
    </sheetView>
  </sheetViews>
  <sheetFormatPr defaultRowHeight="16.5" x14ac:dyDescent="0.3"/>
  <cols>
    <col min="1" max="1" width="41" customWidth="1"/>
    <col min="2" max="2" width="41.125" customWidth="1"/>
    <col min="3" max="3" width="38.75" customWidth="1"/>
    <col min="4" max="4" width="37" customWidth="1"/>
    <col min="5" max="5" width="39" customWidth="1"/>
    <col min="6" max="6" width="24.125" customWidth="1"/>
    <col min="7" max="7" width="24" customWidth="1"/>
    <col min="8" max="8" width="53.625" customWidth="1"/>
    <col min="9" max="9" width="24.875" customWidth="1"/>
    <col min="10" max="10" width="23.5" customWidth="1"/>
    <col min="11" max="11" width="20.125" customWidth="1"/>
    <col min="12" max="12" width="31.875" customWidth="1"/>
    <col min="13" max="13" width="25.25" customWidth="1"/>
    <col min="14" max="14" width="15.5" customWidth="1"/>
    <col min="15" max="15" width="20.5" customWidth="1"/>
    <col min="16" max="16" width="27" customWidth="1"/>
    <col min="17" max="17" width="18.125" customWidth="1"/>
    <col min="18" max="18" width="28.25" customWidth="1"/>
    <col min="19" max="19" width="31.375" customWidth="1"/>
    <col min="20" max="20" width="21.875" customWidth="1"/>
    <col min="21" max="21" width="27.75" customWidth="1"/>
    <col min="22" max="30" width="8"/>
    <col min="31" max="31" width="17.125" customWidth="1"/>
  </cols>
  <sheetData>
    <row r="1" spans="1:5" x14ac:dyDescent="0.3">
      <c r="A1" s="44" t="s">
        <v>631</v>
      </c>
      <c r="B1" s="44" t="s">
        <v>211</v>
      </c>
      <c r="C1" s="44" t="s">
        <v>212</v>
      </c>
      <c r="D1" s="44" t="s">
        <v>630</v>
      </c>
      <c r="E1" s="44" t="s">
        <v>213</v>
      </c>
    </row>
    <row r="2" spans="1:5" ht="60.75" customHeight="1" x14ac:dyDescent="0.3">
      <c r="A2" s="45"/>
      <c r="B2" s="27"/>
      <c r="C2" s="27"/>
      <c r="D2" s="49"/>
      <c r="E2" s="46" t="str">
        <f>A4&amp;B4&amp;"."&amp;C4&amp;D4</f>
        <v>125.31</v>
      </c>
    </row>
    <row r="3" spans="1:5" ht="0.75" customHeight="1" x14ac:dyDescent="0.3">
      <c r="A3" s="45"/>
      <c r="B3" s="48">
        <v>6</v>
      </c>
      <c r="C3" s="27">
        <v>4</v>
      </c>
      <c r="D3" s="46">
        <v>2</v>
      </c>
      <c r="E3" s="46" t="str">
        <f>A5&amp;C6&amp;"-"&amp;D6</f>
        <v>-</v>
      </c>
    </row>
    <row r="4" spans="1:5" ht="56.25" customHeight="1" x14ac:dyDescent="0.3">
      <c r="A4" s="47">
        <v>1</v>
      </c>
      <c r="B4" s="48">
        <f>B3+19</f>
        <v>25</v>
      </c>
      <c r="C4" s="48">
        <f>(C3-1)</f>
        <v>3</v>
      </c>
      <c r="D4" s="50">
        <f>D3-1</f>
        <v>1</v>
      </c>
      <c r="E4" s="51" t="s">
        <v>632</v>
      </c>
    </row>
    <row r="5" spans="1:5" ht="38.25" customHeight="1" x14ac:dyDescent="0.3"/>
  </sheetData>
  <dataValidations disablePrompts="1" count="1">
    <dataValidation type="list" allowBlank="1" showInputMessage="1" showErrorMessage="1" sqref="C11" xr:uid="{62577441-5BCE-495B-8FA7-40759E6F1238}">
      <formula1>INDIRECT($A$15)</formula1>
    </dataValidation>
  </dataValidations>
  <pageMargins left="0.7" right="0.7" top="0.75" bottom="0.75" header="0.3" footer="0.3"/>
  <pageSetup paperSize="9"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40" r:id="rId5" name="Drop Down 16">
              <controlPr defaultSize="0" autoLine="0" autoPict="0">
                <anchor moveWithCells="1">
                  <from>
                    <xdr:col>0</xdr:col>
                    <xdr:colOff>57150</xdr:colOff>
                    <xdr:row>1</xdr:row>
                    <xdr:rowOff>104775</xdr:rowOff>
                  </from>
                  <to>
                    <xdr:col>0</xdr:col>
                    <xdr:colOff>2247900</xdr:colOff>
                    <xdr:row>1</xdr:row>
                    <xdr:rowOff>600075</xdr:rowOff>
                  </to>
                </anchor>
              </controlPr>
            </control>
          </mc:Choice>
        </mc:AlternateContent>
        <mc:AlternateContent xmlns:mc="http://schemas.openxmlformats.org/markup-compatibility/2006">
          <mc:Choice Requires="x14">
            <control shapeId="1041" r:id="rId6" name="Drop Down 17">
              <controlPr defaultSize="0" autoLine="0" autoPict="0">
                <anchor moveWithCells="1">
                  <from>
                    <xdr:col>1</xdr:col>
                    <xdr:colOff>66675</xdr:colOff>
                    <xdr:row>1</xdr:row>
                    <xdr:rowOff>123825</xdr:rowOff>
                  </from>
                  <to>
                    <xdr:col>1</xdr:col>
                    <xdr:colOff>2343150</xdr:colOff>
                    <xdr:row>1</xdr:row>
                    <xdr:rowOff>590550</xdr:rowOff>
                  </to>
                </anchor>
              </controlPr>
            </control>
          </mc:Choice>
        </mc:AlternateContent>
        <mc:AlternateContent xmlns:mc="http://schemas.openxmlformats.org/markup-compatibility/2006">
          <mc:Choice Requires="x14">
            <control shapeId="1042" r:id="rId7" name="Drop Down 18">
              <controlPr defaultSize="0" autoLine="0" autoPict="0">
                <anchor moveWithCells="1">
                  <from>
                    <xdr:col>2</xdr:col>
                    <xdr:colOff>66675</xdr:colOff>
                    <xdr:row>1</xdr:row>
                    <xdr:rowOff>133350</xdr:rowOff>
                  </from>
                  <to>
                    <xdr:col>2</xdr:col>
                    <xdr:colOff>2038350</xdr:colOff>
                    <xdr:row>1</xdr:row>
                    <xdr:rowOff>581025</xdr:rowOff>
                  </to>
                </anchor>
              </controlPr>
            </control>
          </mc:Choice>
        </mc:AlternateContent>
        <mc:AlternateContent xmlns:mc="http://schemas.openxmlformats.org/markup-compatibility/2006">
          <mc:Choice Requires="x14">
            <control shapeId="1043" r:id="rId8" name="Button 19">
              <controlPr defaultSize="0" print="0" autoFill="0" autoPict="0" macro="[0]!GenerateCleanCodesOnly">
                <anchor moveWithCells="1" sizeWithCells="1">
                  <from>
                    <xdr:col>2</xdr:col>
                    <xdr:colOff>28575</xdr:colOff>
                    <xdr:row>5</xdr:row>
                    <xdr:rowOff>76200</xdr:rowOff>
                  </from>
                  <to>
                    <xdr:col>3</xdr:col>
                    <xdr:colOff>28575</xdr:colOff>
                    <xdr:row>7</xdr:row>
                    <xdr:rowOff>190500</xdr:rowOff>
                  </to>
                </anchor>
              </controlPr>
            </control>
          </mc:Choice>
        </mc:AlternateContent>
        <mc:AlternateContent xmlns:mc="http://schemas.openxmlformats.org/markup-compatibility/2006">
          <mc:Choice Requires="x14">
            <control shapeId="1045" r:id="rId9" name="Drop Down 21">
              <controlPr defaultSize="0" autoLine="0" autoPict="0">
                <anchor moveWithCells="1">
                  <from>
                    <xdr:col>3</xdr:col>
                    <xdr:colOff>66675</xdr:colOff>
                    <xdr:row>1</xdr:row>
                    <xdr:rowOff>133350</xdr:rowOff>
                  </from>
                  <to>
                    <xdr:col>3</xdr:col>
                    <xdr:colOff>2038350</xdr:colOff>
                    <xdr:row>1</xdr:row>
                    <xdr:rowOff>581025</xdr:rowOff>
                  </to>
                </anchor>
              </controlPr>
            </control>
          </mc:Choice>
        </mc:AlternateContent>
        <mc:AlternateContent xmlns:mc="http://schemas.openxmlformats.org/markup-compatibility/2006">
          <mc:Choice Requires="x14">
            <control shapeId="1046" r:id="rId10" name="Button 22">
              <controlPr defaultSize="0" print="0" autoFill="0" autoPict="0" macro="[0]!TransferToDatabase">
                <anchor moveWithCells="1" sizeWithCells="1">
                  <from>
                    <xdr:col>2</xdr:col>
                    <xdr:colOff>28575</xdr:colOff>
                    <xdr:row>8</xdr:row>
                    <xdr:rowOff>200025</xdr:rowOff>
                  </from>
                  <to>
                    <xdr:col>3</xdr:col>
                    <xdr:colOff>28575</xdr:colOff>
                    <xdr:row>10</xdr:row>
                    <xdr:rowOff>0</xdr:rowOff>
                  </to>
                </anchor>
              </controlPr>
            </control>
          </mc:Choice>
        </mc:AlternateContent>
      </controls>
    </mc:Choice>
  </mc:AlternateContent>
  <tableParts count="1">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85AFE-1C67-4B84-949D-2D146914C128}">
  <sheetPr codeName="Sayfa2"/>
  <dimension ref="A2"/>
  <sheetViews>
    <sheetView workbookViewId="0">
      <selection activeCell="A44" sqref="A42:A44"/>
    </sheetView>
  </sheetViews>
  <sheetFormatPr defaultRowHeight="16.5" x14ac:dyDescent="0.3"/>
  <cols>
    <col min="1" max="1" width="38.875" customWidth="1"/>
    <col min="2" max="2" width="28.875" customWidth="1"/>
    <col min="3" max="3" width="25.25" customWidth="1"/>
    <col min="4" max="4" width="52.625" customWidth="1"/>
  </cols>
  <sheetData>
    <row r="2" spans="1:1" x14ac:dyDescent="0.3">
      <c r="A2" t="s">
        <v>632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FE6F5-F301-4AB2-8C7F-1E670459B84D}">
  <sheetPr codeName="Sayfa4"/>
  <dimension ref="A2:A73"/>
  <sheetViews>
    <sheetView workbookViewId="0"/>
  </sheetViews>
  <sheetFormatPr defaultRowHeight="16.5" x14ac:dyDescent="0.3"/>
  <sheetData>
    <row r="2" spans="1:1" x14ac:dyDescent="0.3">
      <c r="A2" t="s">
        <v>342</v>
      </c>
    </row>
    <row r="3" spans="1:1" x14ac:dyDescent="0.3">
      <c r="A3" t="s">
        <v>343</v>
      </c>
    </row>
    <row r="4" spans="1:1" x14ac:dyDescent="0.3">
      <c r="A4" t="s">
        <v>344</v>
      </c>
    </row>
    <row r="5" spans="1:1" x14ac:dyDescent="0.3">
      <c r="A5" t="s">
        <v>345</v>
      </c>
    </row>
    <row r="6" spans="1:1" x14ac:dyDescent="0.3">
      <c r="A6" t="s">
        <v>346</v>
      </c>
    </row>
    <row r="10" spans="1:1" x14ac:dyDescent="0.3">
      <c r="A10" t="s">
        <v>349</v>
      </c>
    </row>
    <row r="11" spans="1:1" x14ac:dyDescent="0.3">
      <c r="A11" t="s">
        <v>347</v>
      </c>
    </row>
    <row r="12" spans="1:1" x14ac:dyDescent="0.3">
      <c r="A12" t="s">
        <v>348</v>
      </c>
    </row>
    <row r="13" spans="1:1" x14ac:dyDescent="0.3">
      <c r="A13" t="s">
        <v>349</v>
      </c>
    </row>
    <row r="14" spans="1:1" x14ac:dyDescent="0.3">
      <c r="A14" t="s">
        <v>555</v>
      </c>
    </row>
    <row r="15" spans="1:1" x14ac:dyDescent="0.3">
      <c r="A15" t="s">
        <v>556</v>
      </c>
    </row>
    <row r="17" spans="1:1" x14ac:dyDescent="0.3">
      <c r="A17" t="s">
        <v>557</v>
      </c>
    </row>
    <row r="18" spans="1:1" x14ac:dyDescent="0.3">
      <c r="A18" t="s">
        <v>557</v>
      </c>
    </row>
    <row r="19" spans="1:1" x14ac:dyDescent="0.3">
      <c r="A19" t="s">
        <v>558</v>
      </c>
    </row>
    <row r="20" spans="1:1" x14ac:dyDescent="0.3">
      <c r="A20" t="s">
        <v>560</v>
      </c>
    </row>
    <row r="21" spans="1:1" x14ac:dyDescent="0.3">
      <c r="A21" t="s">
        <v>561</v>
      </c>
    </row>
    <row r="22" spans="1:1" x14ac:dyDescent="0.3">
      <c r="A22" t="s">
        <v>562</v>
      </c>
    </row>
    <row r="23" spans="1:1" x14ac:dyDescent="0.3">
      <c r="A23" t="s">
        <v>563</v>
      </c>
    </row>
    <row r="24" spans="1:1" x14ac:dyDescent="0.3">
      <c r="A24" t="s">
        <v>564</v>
      </c>
    </row>
    <row r="25" spans="1:1" x14ac:dyDescent="0.3">
      <c r="A25" t="s">
        <v>565</v>
      </c>
    </row>
    <row r="29" spans="1:1" x14ac:dyDescent="0.3">
      <c r="A29" t="s">
        <v>566</v>
      </c>
    </row>
    <row r="30" spans="1:1" x14ac:dyDescent="0.3">
      <c r="A30" t="s">
        <v>567</v>
      </c>
    </row>
    <row r="31" spans="1:1" x14ac:dyDescent="0.3">
      <c r="A31" t="s">
        <v>570</v>
      </c>
    </row>
    <row r="32" spans="1:1" x14ac:dyDescent="0.3">
      <c r="A32" t="s">
        <v>571</v>
      </c>
    </row>
    <row r="33" spans="1:1" x14ac:dyDescent="0.3">
      <c r="A33" t="s">
        <v>572</v>
      </c>
    </row>
    <row r="34" spans="1:1" x14ac:dyDescent="0.3">
      <c r="A34" t="s">
        <v>573</v>
      </c>
    </row>
    <row r="35" spans="1:1" x14ac:dyDescent="0.3">
      <c r="A35" t="s">
        <v>574</v>
      </c>
    </row>
    <row r="36" spans="1:1" x14ac:dyDescent="0.3">
      <c r="A36" t="s">
        <v>575</v>
      </c>
    </row>
    <row r="37" spans="1:1" x14ac:dyDescent="0.3">
      <c r="A37" t="s">
        <v>576</v>
      </c>
    </row>
    <row r="38" spans="1:1" x14ac:dyDescent="0.3">
      <c r="A38" t="s">
        <v>577</v>
      </c>
    </row>
    <row r="39" spans="1:1" x14ac:dyDescent="0.3">
      <c r="A39" t="s">
        <v>578</v>
      </c>
    </row>
    <row r="40" spans="1:1" x14ac:dyDescent="0.3">
      <c r="A40" t="s">
        <v>579</v>
      </c>
    </row>
    <row r="41" spans="1:1" x14ac:dyDescent="0.3">
      <c r="A41" t="s">
        <v>580</v>
      </c>
    </row>
    <row r="42" spans="1:1" x14ac:dyDescent="0.3">
      <c r="A42" t="s">
        <v>581</v>
      </c>
    </row>
    <row r="46" spans="1:1" x14ac:dyDescent="0.3">
      <c r="A46" t="s">
        <v>582</v>
      </c>
    </row>
    <row r="47" spans="1:1" x14ac:dyDescent="0.3">
      <c r="A47" t="s">
        <v>583</v>
      </c>
    </row>
    <row r="48" spans="1:1" x14ac:dyDescent="0.3">
      <c r="A48" t="s">
        <v>584</v>
      </c>
    </row>
    <row r="49" spans="1:1" x14ac:dyDescent="0.3">
      <c r="A49" t="s">
        <v>585</v>
      </c>
    </row>
    <row r="50" spans="1:1" x14ac:dyDescent="0.3">
      <c r="A50" t="s">
        <v>586</v>
      </c>
    </row>
    <row r="52" spans="1:1" x14ac:dyDescent="0.3">
      <c r="A52" t="s">
        <v>587</v>
      </c>
    </row>
    <row r="53" spans="1:1" x14ac:dyDescent="0.3">
      <c r="A53" t="s">
        <v>588</v>
      </c>
    </row>
    <row r="54" spans="1:1" x14ac:dyDescent="0.3">
      <c r="A54" t="s">
        <v>589</v>
      </c>
    </row>
    <row r="55" spans="1:1" x14ac:dyDescent="0.3">
      <c r="A55" t="s">
        <v>590</v>
      </c>
    </row>
    <row r="56" spans="1:1" x14ac:dyDescent="0.3">
      <c r="A56" t="s">
        <v>591</v>
      </c>
    </row>
    <row r="57" spans="1:1" x14ac:dyDescent="0.3">
      <c r="A57" t="s">
        <v>592</v>
      </c>
    </row>
    <row r="58" spans="1:1" x14ac:dyDescent="0.3">
      <c r="A58" t="s">
        <v>593</v>
      </c>
    </row>
    <row r="59" spans="1:1" x14ac:dyDescent="0.3">
      <c r="A59" t="s">
        <v>594</v>
      </c>
    </row>
    <row r="60" spans="1:1" x14ac:dyDescent="0.3">
      <c r="A60" t="s">
        <v>595</v>
      </c>
    </row>
    <row r="61" spans="1:1" x14ac:dyDescent="0.3">
      <c r="A61" t="s">
        <v>596</v>
      </c>
    </row>
    <row r="63" spans="1:1" x14ac:dyDescent="0.3">
      <c r="A63" t="s">
        <v>597</v>
      </c>
    </row>
    <row r="64" spans="1:1" x14ac:dyDescent="0.3">
      <c r="A64" t="s">
        <v>598</v>
      </c>
    </row>
    <row r="66" spans="1:1" x14ac:dyDescent="0.3">
      <c r="A66" t="s">
        <v>623</v>
      </c>
    </row>
    <row r="67" spans="1:1" x14ac:dyDescent="0.3">
      <c r="A67" t="s">
        <v>624</v>
      </c>
    </row>
    <row r="68" spans="1:1" x14ac:dyDescent="0.3">
      <c r="A68" t="s">
        <v>625</v>
      </c>
    </row>
    <row r="69" spans="1:1" x14ac:dyDescent="0.3">
      <c r="A69" t="s">
        <v>626</v>
      </c>
    </row>
    <row r="70" spans="1:1" x14ac:dyDescent="0.3">
      <c r="A70" t="s">
        <v>627</v>
      </c>
    </row>
    <row r="71" spans="1:1" x14ac:dyDescent="0.3">
      <c r="A71" t="s">
        <v>628</v>
      </c>
    </row>
    <row r="73" spans="1:1" x14ac:dyDescent="0.3">
      <c r="A73" t="s">
        <v>629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80F37-5396-454B-B7AF-20EAF54A9449}">
  <sheetPr codeName="Sayfa6"/>
  <dimension ref="A2:DB130"/>
  <sheetViews>
    <sheetView zoomScale="77" zoomScaleNormal="77" workbookViewId="0">
      <pane xSplit="1" topLeftCell="G1" activePane="topRight" state="frozen"/>
      <selection activeCell="A7" sqref="A7"/>
      <selection pane="topRight" activeCell="AC13" sqref="AC13"/>
    </sheetView>
  </sheetViews>
  <sheetFormatPr defaultRowHeight="16.5" x14ac:dyDescent="0.3"/>
  <cols>
    <col min="1" max="1" width="8.875" customWidth="1"/>
    <col min="2" max="2" width="30.75" customWidth="1"/>
    <col min="104" max="104" width="18.625" customWidth="1"/>
  </cols>
  <sheetData>
    <row r="2" spans="1:106" x14ac:dyDescent="0.3">
      <c r="E2" t="s">
        <v>106</v>
      </c>
      <c r="H2" t="s">
        <v>569</v>
      </c>
    </row>
    <row r="3" spans="1:106" x14ac:dyDescent="0.3">
      <c r="E3" t="s">
        <v>107</v>
      </c>
      <c r="H3" t="s">
        <v>568</v>
      </c>
    </row>
    <row r="4" spans="1:106" x14ac:dyDescent="0.3">
      <c r="E4" t="s">
        <v>553</v>
      </c>
    </row>
    <row r="5" spans="1:106" x14ac:dyDescent="0.3">
      <c r="B5" t="s">
        <v>341</v>
      </c>
    </row>
    <row r="9" spans="1:106" x14ac:dyDescent="0.3">
      <c r="E9" s="28">
        <v>1</v>
      </c>
      <c r="F9" s="28">
        <v>2</v>
      </c>
      <c r="G9" s="28">
        <v>3</v>
      </c>
      <c r="H9" s="29">
        <v>4</v>
      </c>
      <c r="I9" s="29">
        <v>5</v>
      </c>
      <c r="J9" s="29">
        <v>6</v>
      </c>
      <c r="K9" s="29">
        <v>7</v>
      </c>
      <c r="L9" s="29">
        <v>8</v>
      </c>
      <c r="M9" s="28">
        <v>9</v>
      </c>
      <c r="N9" s="28">
        <v>10</v>
      </c>
      <c r="O9" s="28">
        <v>11</v>
      </c>
      <c r="P9" s="29">
        <v>12</v>
      </c>
      <c r="Q9" s="29">
        <v>13</v>
      </c>
      <c r="R9" s="29">
        <v>14</v>
      </c>
      <c r="S9" s="29">
        <v>15</v>
      </c>
      <c r="T9" s="29">
        <v>16</v>
      </c>
      <c r="U9" s="28">
        <v>17</v>
      </c>
      <c r="V9" s="28">
        <v>18</v>
      </c>
      <c r="W9" s="28">
        <v>19</v>
      </c>
      <c r="X9" s="28">
        <v>20</v>
      </c>
      <c r="Y9" s="28">
        <v>21</v>
      </c>
      <c r="Z9" s="28">
        <v>22</v>
      </c>
      <c r="AA9" s="28">
        <v>23</v>
      </c>
      <c r="AB9" s="28">
        <v>24</v>
      </c>
      <c r="AC9" s="28">
        <v>25</v>
      </c>
      <c r="AD9" s="28">
        <v>26</v>
      </c>
      <c r="AE9" s="28">
        <v>27</v>
      </c>
      <c r="AF9" s="28">
        <v>28</v>
      </c>
      <c r="AG9" s="28">
        <v>29</v>
      </c>
      <c r="AH9" s="28">
        <v>30</v>
      </c>
      <c r="AI9" s="28">
        <v>31</v>
      </c>
      <c r="AJ9" s="28">
        <v>32</v>
      </c>
      <c r="AK9" s="28">
        <v>33</v>
      </c>
      <c r="AL9" s="28">
        <v>34</v>
      </c>
      <c r="AM9" s="28">
        <v>35</v>
      </c>
      <c r="AN9" s="28">
        <v>36</v>
      </c>
      <c r="AO9" s="28">
        <v>37</v>
      </c>
      <c r="AP9" s="28">
        <v>38</v>
      </c>
      <c r="AQ9" s="28">
        <v>39</v>
      </c>
      <c r="AR9" s="28">
        <v>40</v>
      </c>
      <c r="AS9" s="28">
        <v>41</v>
      </c>
      <c r="AT9" s="38">
        <v>42</v>
      </c>
      <c r="AU9" s="38">
        <v>42</v>
      </c>
      <c r="AV9" s="28">
        <v>43</v>
      </c>
      <c r="AW9" s="28">
        <v>44</v>
      </c>
      <c r="AX9" s="28">
        <v>45</v>
      </c>
      <c r="AY9" s="28">
        <v>46</v>
      </c>
      <c r="AZ9" s="28">
        <v>47</v>
      </c>
      <c r="BA9" s="28">
        <v>48</v>
      </c>
      <c r="BB9" s="28">
        <v>49</v>
      </c>
      <c r="BC9" s="28">
        <v>50</v>
      </c>
      <c r="BD9" s="28">
        <v>51</v>
      </c>
      <c r="BE9" s="28">
        <v>52</v>
      </c>
      <c r="BF9" s="28">
        <v>53</v>
      </c>
      <c r="BG9" s="28">
        <v>54</v>
      </c>
      <c r="BH9" s="28">
        <v>55</v>
      </c>
      <c r="BI9" s="28">
        <v>56</v>
      </c>
      <c r="BJ9" s="28">
        <v>57</v>
      </c>
      <c r="BK9" s="28">
        <v>58</v>
      </c>
      <c r="BL9" s="28">
        <v>59</v>
      </c>
      <c r="BM9" s="28">
        <v>60</v>
      </c>
      <c r="BN9" s="28">
        <v>61</v>
      </c>
      <c r="BO9" s="28">
        <v>62</v>
      </c>
      <c r="BP9" s="28">
        <v>63</v>
      </c>
      <c r="BQ9" s="28">
        <v>64</v>
      </c>
      <c r="BR9" s="28">
        <v>65</v>
      </c>
      <c r="BS9" s="28">
        <v>66</v>
      </c>
      <c r="BT9" s="28">
        <v>67</v>
      </c>
      <c r="BU9" s="28">
        <v>68</v>
      </c>
      <c r="BV9" s="28">
        <v>69</v>
      </c>
      <c r="BW9" s="28">
        <v>70</v>
      </c>
      <c r="BX9" s="28">
        <v>71</v>
      </c>
      <c r="BY9" s="38">
        <v>72</v>
      </c>
      <c r="BZ9" s="28">
        <v>73</v>
      </c>
      <c r="CA9" s="28">
        <v>74</v>
      </c>
      <c r="CB9" s="28">
        <v>75</v>
      </c>
      <c r="CC9" s="28">
        <v>76</v>
      </c>
      <c r="CD9" s="28">
        <v>77</v>
      </c>
      <c r="CE9" s="28">
        <v>78</v>
      </c>
      <c r="CF9" s="28">
        <v>79</v>
      </c>
      <c r="CG9" s="28">
        <v>80</v>
      </c>
      <c r="CH9" s="28">
        <v>81</v>
      </c>
      <c r="CI9" s="28">
        <v>82</v>
      </c>
      <c r="CJ9" s="28">
        <v>83</v>
      </c>
      <c r="CK9" s="28">
        <v>84</v>
      </c>
      <c r="CL9" s="28">
        <v>85</v>
      </c>
      <c r="CM9" s="28">
        <v>86</v>
      </c>
      <c r="CN9" s="28">
        <v>87</v>
      </c>
      <c r="CO9" s="28">
        <v>88</v>
      </c>
      <c r="CP9" s="28">
        <v>89</v>
      </c>
      <c r="CQ9" s="28">
        <v>90</v>
      </c>
      <c r="CR9" s="28">
        <v>91</v>
      </c>
      <c r="CS9" s="28">
        <v>92</v>
      </c>
      <c r="CT9" s="28">
        <v>93</v>
      </c>
      <c r="CU9" s="28">
        <v>94</v>
      </c>
      <c r="CV9" s="28">
        <v>95</v>
      </c>
      <c r="CW9" s="28">
        <v>96</v>
      </c>
      <c r="CX9" s="28">
        <v>97</v>
      </c>
      <c r="CY9" s="28">
        <v>98</v>
      </c>
      <c r="CZ9" s="41">
        <v>99</v>
      </c>
    </row>
    <row r="10" spans="1:106" ht="99" x14ac:dyDescent="0.3">
      <c r="E10" s="31" t="s">
        <v>559</v>
      </c>
      <c r="F10" s="31">
        <v>0</v>
      </c>
      <c r="G10" s="31">
        <v>0</v>
      </c>
      <c r="H10" s="31">
        <v>0</v>
      </c>
      <c r="I10" s="32">
        <v>0</v>
      </c>
      <c r="J10" s="32">
        <v>0</v>
      </c>
      <c r="K10" s="32">
        <v>0</v>
      </c>
      <c r="L10" s="32">
        <v>0</v>
      </c>
      <c r="M10" s="32">
        <v>0</v>
      </c>
      <c r="N10" s="33">
        <v>0</v>
      </c>
      <c r="O10" s="32">
        <v>0</v>
      </c>
      <c r="P10" s="32">
        <v>0</v>
      </c>
      <c r="Q10" s="32">
        <v>0</v>
      </c>
      <c r="R10" s="32">
        <v>0</v>
      </c>
      <c r="S10" s="32">
        <v>0</v>
      </c>
      <c r="T10" s="32">
        <v>0</v>
      </c>
      <c r="U10" s="32">
        <v>0</v>
      </c>
      <c r="V10" s="32">
        <v>0</v>
      </c>
      <c r="W10" s="32">
        <v>0</v>
      </c>
      <c r="X10" s="32" t="s">
        <v>96</v>
      </c>
      <c r="Y10" s="32" t="s">
        <v>3</v>
      </c>
      <c r="Z10" s="32" t="s">
        <v>13</v>
      </c>
      <c r="AA10" s="32" t="s">
        <v>20</v>
      </c>
      <c r="AB10" s="32" t="s">
        <v>31</v>
      </c>
      <c r="AC10" s="32" t="s">
        <v>41</v>
      </c>
      <c r="AD10" s="31" t="s">
        <v>234</v>
      </c>
      <c r="AE10" s="31" t="s">
        <v>214</v>
      </c>
      <c r="AF10" s="31" t="s">
        <v>224</v>
      </c>
      <c r="AG10" s="34" t="s">
        <v>230</v>
      </c>
      <c r="AH10" s="34" t="s">
        <v>233</v>
      </c>
      <c r="AI10" s="31" t="s">
        <v>246</v>
      </c>
      <c r="AJ10" s="31" t="s">
        <v>254</v>
      </c>
      <c r="AK10" s="31" t="s">
        <v>264</v>
      </c>
      <c r="AL10" s="31" t="s">
        <v>270</v>
      </c>
      <c r="AM10" s="31" t="s">
        <v>278</v>
      </c>
      <c r="AN10" s="31" t="s">
        <v>283</v>
      </c>
      <c r="AO10" s="31" t="s">
        <v>286</v>
      </c>
      <c r="AP10" s="31" t="s">
        <v>287</v>
      </c>
      <c r="AQ10" s="31" t="s">
        <v>292</v>
      </c>
      <c r="AR10" s="32" t="s">
        <v>300</v>
      </c>
      <c r="AS10" s="32" t="s">
        <v>308</v>
      </c>
      <c r="AT10" s="32" t="s">
        <v>311</v>
      </c>
      <c r="AU10" s="32" t="s">
        <v>319</v>
      </c>
      <c r="AV10" s="31" t="s">
        <v>322</v>
      </c>
      <c r="AW10" s="31" t="s">
        <v>332</v>
      </c>
      <c r="AX10" s="31" t="s">
        <v>339</v>
      </c>
      <c r="AY10" s="31" t="s">
        <v>425</v>
      </c>
      <c r="AZ10" s="31" t="s">
        <v>350</v>
      </c>
      <c r="BA10" s="31" t="s">
        <v>353</v>
      </c>
      <c r="BB10" s="34" t="s">
        <v>356</v>
      </c>
      <c r="BC10" s="31" t="s">
        <v>366</v>
      </c>
      <c r="BD10" s="31" t="s">
        <v>373</v>
      </c>
      <c r="BE10" s="31" t="s">
        <v>382</v>
      </c>
      <c r="BF10" s="31" t="s">
        <v>390</v>
      </c>
      <c r="BG10" s="31" t="s">
        <v>400</v>
      </c>
      <c r="BH10" s="31" t="s">
        <v>404</v>
      </c>
      <c r="BI10" s="31" t="s">
        <v>410</v>
      </c>
      <c r="BJ10" s="31" t="s">
        <v>414</v>
      </c>
      <c r="BK10" s="38" t="s">
        <v>559</v>
      </c>
      <c r="BL10" s="38" t="s">
        <v>559</v>
      </c>
      <c r="BM10" s="34" t="s">
        <v>423</v>
      </c>
      <c r="BN10" s="31" t="s">
        <v>430</v>
      </c>
      <c r="BO10" s="31" t="s">
        <v>434</v>
      </c>
      <c r="BP10" s="31" t="s">
        <v>438</v>
      </c>
      <c r="BQ10" s="31" t="s">
        <v>443</v>
      </c>
      <c r="BR10" s="31" t="s">
        <v>447</v>
      </c>
      <c r="BS10" s="31" t="s">
        <v>450</v>
      </c>
      <c r="BT10" s="31" t="s">
        <v>453</v>
      </c>
      <c r="BU10" s="38" t="s">
        <v>559</v>
      </c>
      <c r="BV10" s="38" t="s">
        <v>559</v>
      </c>
      <c r="BW10" s="31" t="s">
        <v>554</v>
      </c>
      <c r="BX10" s="31" t="s">
        <v>465</v>
      </c>
      <c r="BY10" s="31" t="s">
        <v>474</v>
      </c>
      <c r="BZ10" s="31" t="s">
        <v>485</v>
      </c>
      <c r="CA10" s="31" t="s">
        <v>486</v>
      </c>
      <c r="CB10" s="31" t="s">
        <v>361</v>
      </c>
      <c r="CC10" s="31" t="s">
        <v>616</v>
      </c>
      <c r="CD10" s="34" t="s">
        <v>363</v>
      </c>
      <c r="CE10" s="31" t="s">
        <v>364</v>
      </c>
      <c r="CF10" s="31" t="s">
        <v>365</v>
      </c>
      <c r="CG10" s="31" t="s">
        <v>504</v>
      </c>
      <c r="CH10" s="31" t="s">
        <v>506</v>
      </c>
      <c r="CI10" s="34" t="s">
        <v>509</v>
      </c>
      <c r="CJ10" s="31" t="s">
        <v>511</v>
      </c>
      <c r="CK10" s="34" t="s">
        <v>514</v>
      </c>
      <c r="CL10" s="31" t="s">
        <v>516</v>
      </c>
      <c r="CM10" s="31" t="s">
        <v>524</v>
      </c>
      <c r="CN10" s="38" t="s">
        <v>559</v>
      </c>
      <c r="CO10" s="38" t="s">
        <v>559</v>
      </c>
      <c r="CP10" s="38" t="s">
        <v>559</v>
      </c>
      <c r="CQ10" s="32" t="s">
        <v>205</v>
      </c>
      <c r="CR10" s="32" t="s">
        <v>125</v>
      </c>
      <c r="CS10" s="32" t="s">
        <v>126</v>
      </c>
      <c r="CT10" s="32" t="s">
        <v>127</v>
      </c>
      <c r="CU10" s="32" t="s">
        <v>128</v>
      </c>
      <c r="CV10" s="32" t="s">
        <v>129</v>
      </c>
      <c r="CW10" s="31" t="s">
        <v>529</v>
      </c>
      <c r="CX10" s="31" t="s">
        <v>534</v>
      </c>
      <c r="CY10" s="31" t="s">
        <v>542</v>
      </c>
      <c r="CZ10" s="42" t="s">
        <v>547</v>
      </c>
    </row>
    <row r="11" spans="1:106" ht="51" x14ac:dyDescent="0.4">
      <c r="A11" s="36">
        <v>0</v>
      </c>
      <c r="B11" s="35" t="str">
        <f>INDEX(E11:DB11,,Selection!B4)</f>
        <v>General</v>
      </c>
      <c r="E11" s="28"/>
      <c r="F11" s="28"/>
      <c r="G11" s="28"/>
      <c r="H11" s="28"/>
      <c r="I11" s="28"/>
      <c r="J11" s="28"/>
      <c r="K11" s="29"/>
      <c r="L11" s="29"/>
      <c r="M11" s="29"/>
      <c r="N11" s="29"/>
      <c r="O11" s="28"/>
      <c r="P11" s="28"/>
      <c r="Q11" s="28"/>
      <c r="R11" s="28"/>
      <c r="S11" s="28"/>
      <c r="T11" s="28"/>
      <c r="U11" s="28"/>
      <c r="V11" s="28"/>
      <c r="W11" s="28"/>
      <c r="X11" s="29" t="s">
        <v>2</v>
      </c>
      <c r="Y11" s="29" t="s">
        <v>2</v>
      </c>
      <c r="Z11" s="29" t="s">
        <v>2</v>
      </c>
      <c r="AA11" s="29" t="s">
        <v>2</v>
      </c>
      <c r="AB11" s="29" t="s">
        <v>2</v>
      </c>
      <c r="AC11" s="28" t="s">
        <v>2</v>
      </c>
      <c r="AD11" s="28" t="s">
        <v>2</v>
      </c>
      <c r="AE11" s="28" t="s">
        <v>2</v>
      </c>
      <c r="AF11" s="29" t="s">
        <v>2</v>
      </c>
      <c r="AG11" s="29" t="s">
        <v>2</v>
      </c>
      <c r="AH11" s="28" t="s">
        <v>2</v>
      </c>
      <c r="AI11" s="29" t="s">
        <v>2</v>
      </c>
      <c r="AJ11" s="29" t="s">
        <v>2</v>
      </c>
      <c r="AK11" s="28" t="s">
        <v>2</v>
      </c>
      <c r="AL11" s="28" t="s">
        <v>2</v>
      </c>
      <c r="AM11" s="29" t="s">
        <v>2</v>
      </c>
      <c r="AN11" s="29" t="s">
        <v>2</v>
      </c>
      <c r="AO11" s="28" t="s">
        <v>2</v>
      </c>
      <c r="AP11" s="28" t="s">
        <v>2</v>
      </c>
      <c r="AQ11" s="29" t="s">
        <v>2</v>
      </c>
      <c r="AR11" s="29" t="s">
        <v>2</v>
      </c>
      <c r="AS11" s="28" t="s">
        <v>2</v>
      </c>
      <c r="AT11" s="28" t="s">
        <v>2</v>
      </c>
      <c r="AU11" s="29" t="s">
        <v>2</v>
      </c>
      <c r="AV11" s="29" t="s">
        <v>2</v>
      </c>
      <c r="AW11" s="28" t="s">
        <v>2</v>
      </c>
      <c r="AX11" s="28" t="s">
        <v>2</v>
      </c>
      <c r="AY11" s="28" t="s">
        <v>2</v>
      </c>
      <c r="AZ11" s="28" t="s">
        <v>2</v>
      </c>
      <c r="BA11" s="28" t="s">
        <v>135</v>
      </c>
      <c r="BB11" s="28" t="s">
        <v>2</v>
      </c>
      <c r="BC11" s="28" t="s">
        <v>2</v>
      </c>
      <c r="BD11" s="28" t="s">
        <v>2</v>
      </c>
      <c r="BE11" s="28" t="s">
        <v>2</v>
      </c>
      <c r="BF11" s="28" t="s">
        <v>2</v>
      </c>
      <c r="BG11" s="28" t="s">
        <v>2</v>
      </c>
      <c r="BH11" s="28" t="s">
        <v>2</v>
      </c>
      <c r="BI11" s="28" t="s">
        <v>2</v>
      </c>
      <c r="BJ11" s="28" t="s">
        <v>2</v>
      </c>
      <c r="BK11" s="28"/>
      <c r="BL11" s="28"/>
      <c r="BM11" s="28" t="s">
        <v>2</v>
      </c>
      <c r="BN11" s="28" t="s">
        <v>2</v>
      </c>
      <c r="BO11" s="28" t="s">
        <v>2</v>
      </c>
      <c r="BP11" s="28" t="s">
        <v>2</v>
      </c>
      <c r="BQ11" s="28" t="s">
        <v>2</v>
      </c>
      <c r="BR11" s="28" t="s">
        <v>2</v>
      </c>
      <c r="BS11" s="28" t="s">
        <v>2</v>
      </c>
      <c r="BT11" s="28" t="s">
        <v>2</v>
      </c>
      <c r="BU11" s="38"/>
      <c r="BV11" s="38"/>
      <c r="BW11" s="28" t="s">
        <v>2</v>
      </c>
      <c r="BX11" s="28" t="s">
        <v>2</v>
      </c>
      <c r="BY11" s="28" t="s">
        <v>2</v>
      </c>
      <c r="BZ11" s="28" t="s">
        <v>2</v>
      </c>
      <c r="CA11" s="28" t="s">
        <v>2</v>
      </c>
      <c r="CB11" s="28" t="s">
        <v>2</v>
      </c>
      <c r="CC11" s="28" t="s">
        <v>2</v>
      </c>
      <c r="CD11" s="28" t="s">
        <v>2</v>
      </c>
      <c r="CE11" s="28" t="s">
        <v>2</v>
      </c>
      <c r="CF11" s="28" t="s">
        <v>2</v>
      </c>
      <c r="CG11" s="28" t="s">
        <v>2</v>
      </c>
      <c r="CH11" s="28" t="s">
        <v>2</v>
      </c>
      <c r="CI11" s="28" t="s">
        <v>2</v>
      </c>
      <c r="CJ11" s="28" t="s">
        <v>2</v>
      </c>
      <c r="CK11" s="28" t="s">
        <v>2</v>
      </c>
      <c r="CL11" s="28" t="s">
        <v>2</v>
      </c>
      <c r="CM11" s="28" t="s">
        <v>2</v>
      </c>
      <c r="CN11" s="28" t="s">
        <v>559</v>
      </c>
      <c r="CO11" s="28" t="s">
        <v>559</v>
      </c>
      <c r="CP11" s="28" t="s">
        <v>559</v>
      </c>
      <c r="CQ11" s="29" t="s">
        <v>2</v>
      </c>
      <c r="CR11" s="30" t="s">
        <v>134</v>
      </c>
      <c r="CS11" s="30" t="s">
        <v>135</v>
      </c>
      <c r="CT11" s="30" t="s">
        <v>135</v>
      </c>
      <c r="CU11" s="30" t="s">
        <v>2</v>
      </c>
      <c r="CV11" s="30" t="s">
        <v>2</v>
      </c>
      <c r="CW11" s="30" t="s">
        <v>135</v>
      </c>
      <c r="CX11" s="30" t="s">
        <v>2</v>
      </c>
      <c r="CY11" s="30" t="s">
        <v>2</v>
      </c>
      <c r="CZ11" s="43" t="s">
        <v>135</v>
      </c>
      <c r="DA11" s="6"/>
      <c r="DB11" s="6"/>
    </row>
    <row r="12" spans="1:106" ht="67.5" customHeight="1" x14ac:dyDescent="0.4">
      <c r="A12" s="36">
        <v>10</v>
      </c>
      <c r="B12" s="35" t="str">
        <f>INDEX(E12:DB12,,Selection!B4)</f>
        <v>Flight compartment</v>
      </c>
      <c r="E12" s="28"/>
      <c r="F12" s="28"/>
      <c r="G12" s="28"/>
      <c r="H12" s="28"/>
      <c r="I12" s="28"/>
      <c r="J12" s="28"/>
      <c r="K12" s="29"/>
      <c r="L12" s="29"/>
      <c r="M12" s="29"/>
      <c r="N12" s="29"/>
      <c r="O12" s="28"/>
      <c r="P12" s="28"/>
      <c r="Q12" s="28"/>
      <c r="R12" s="28"/>
      <c r="S12" s="28"/>
      <c r="T12" s="28"/>
      <c r="U12" s="28"/>
      <c r="V12" s="28"/>
      <c r="W12" s="28"/>
      <c r="X12" s="29" t="s">
        <v>97</v>
      </c>
      <c r="Y12" s="29" t="s">
        <v>4</v>
      </c>
      <c r="Z12" s="29" t="s">
        <v>14</v>
      </c>
      <c r="AA12" s="29" t="s">
        <v>21</v>
      </c>
      <c r="AB12" s="29" t="s">
        <v>32</v>
      </c>
      <c r="AC12" s="29" t="s">
        <v>42</v>
      </c>
      <c r="AD12" s="28" t="s">
        <v>235</v>
      </c>
      <c r="AE12" s="28" t="s">
        <v>215</v>
      </c>
      <c r="AF12" s="28" t="s">
        <v>225</v>
      </c>
      <c r="AG12" s="28" t="s">
        <v>231</v>
      </c>
      <c r="AH12" s="28" t="s">
        <v>238</v>
      </c>
      <c r="AI12" s="30" t="s">
        <v>247</v>
      </c>
      <c r="AJ12" s="30" t="s">
        <v>255</v>
      </c>
      <c r="AK12" s="30" t="s">
        <v>265</v>
      </c>
      <c r="AL12" s="30" t="s">
        <v>271</v>
      </c>
      <c r="AM12" s="28" t="s">
        <v>279</v>
      </c>
      <c r="AN12" s="28" t="s">
        <v>284</v>
      </c>
      <c r="AO12" s="28" t="s">
        <v>5</v>
      </c>
      <c r="AP12" s="28" t="s">
        <v>288</v>
      </c>
      <c r="AQ12" s="30" t="s">
        <v>293</v>
      </c>
      <c r="AR12" s="30" t="s">
        <v>301</v>
      </c>
      <c r="AS12" s="28" t="s">
        <v>309</v>
      </c>
      <c r="AT12" s="30" t="s">
        <v>312</v>
      </c>
      <c r="AU12" s="39" t="s">
        <v>559</v>
      </c>
      <c r="AV12" s="30" t="s">
        <v>323</v>
      </c>
      <c r="AW12" s="30" t="s">
        <v>333</v>
      </c>
      <c r="AX12" s="37" t="s">
        <v>340</v>
      </c>
      <c r="AY12" s="40" t="s">
        <v>426</v>
      </c>
      <c r="AZ12" s="28" t="s">
        <v>351</v>
      </c>
      <c r="BA12" s="28" t="s">
        <v>225</v>
      </c>
      <c r="BB12" s="28" t="s">
        <v>357</v>
      </c>
      <c r="BC12" s="30" t="s">
        <v>367</v>
      </c>
      <c r="BD12" s="30" t="s">
        <v>374</v>
      </c>
      <c r="BE12" s="28" t="s">
        <v>383</v>
      </c>
      <c r="BF12" s="30" t="s">
        <v>391</v>
      </c>
      <c r="BG12" s="38" t="s">
        <v>401</v>
      </c>
      <c r="BH12" s="30" t="s">
        <v>405</v>
      </c>
      <c r="BI12" s="30" t="s">
        <v>265</v>
      </c>
      <c r="BJ12" s="28" t="s">
        <v>415</v>
      </c>
      <c r="BK12" s="28"/>
      <c r="BL12" s="28"/>
      <c r="BM12" s="37" t="s">
        <v>424</v>
      </c>
      <c r="BN12" s="28" t="s">
        <v>431</v>
      </c>
      <c r="BO12" s="28" t="s">
        <v>435</v>
      </c>
      <c r="BP12" s="30" t="s">
        <v>439</v>
      </c>
      <c r="BQ12" s="28" t="s">
        <v>444</v>
      </c>
      <c r="BR12" s="28" t="s">
        <v>448</v>
      </c>
      <c r="BS12" s="28" t="s">
        <v>435</v>
      </c>
      <c r="BT12" s="28" t="s">
        <v>454</v>
      </c>
      <c r="BU12" s="38"/>
      <c r="BV12" s="38"/>
      <c r="BW12" s="30" t="s">
        <v>457</v>
      </c>
      <c r="BX12" s="28" t="s">
        <v>466</v>
      </c>
      <c r="BY12" s="30" t="s">
        <v>475</v>
      </c>
      <c r="BZ12" s="28" t="s">
        <v>5</v>
      </c>
      <c r="CA12" s="30" t="s">
        <v>487</v>
      </c>
      <c r="CB12" s="30" t="s">
        <v>489</v>
      </c>
      <c r="CC12" s="28" t="s">
        <v>492</v>
      </c>
      <c r="CD12" s="28" t="s">
        <v>494</v>
      </c>
      <c r="CE12" s="28" t="s">
        <v>498</v>
      </c>
      <c r="CF12" s="28" t="s">
        <v>225</v>
      </c>
      <c r="CG12" s="28" t="s">
        <v>505</v>
      </c>
      <c r="CH12" s="28" t="s">
        <v>507</v>
      </c>
      <c r="CI12" s="28" t="s">
        <v>225</v>
      </c>
      <c r="CJ12" s="30" t="s">
        <v>512</v>
      </c>
      <c r="CK12" s="30" t="s">
        <v>515</v>
      </c>
      <c r="CL12" s="28" t="s">
        <v>517</v>
      </c>
      <c r="CM12" s="28" t="s">
        <v>525</v>
      </c>
      <c r="CN12" s="28" t="s">
        <v>559</v>
      </c>
      <c r="CO12" s="28" t="s">
        <v>559</v>
      </c>
      <c r="CP12" s="28" t="s">
        <v>559</v>
      </c>
      <c r="CQ12" s="30" t="s">
        <v>130</v>
      </c>
      <c r="CR12" s="28" t="s">
        <v>559</v>
      </c>
      <c r="CS12" s="30" t="s">
        <v>136</v>
      </c>
      <c r="CT12" s="30" t="s">
        <v>144</v>
      </c>
      <c r="CU12" s="30" t="s">
        <v>153</v>
      </c>
      <c r="CV12" s="30" t="s">
        <v>157</v>
      </c>
      <c r="CW12" s="30" t="s">
        <v>530</v>
      </c>
      <c r="CX12" s="28" t="s">
        <v>535</v>
      </c>
      <c r="CY12" s="28" t="s">
        <v>543</v>
      </c>
      <c r="CZ12" s="43" t="s">
        <v>548</v>
      </c>
    </row>
    <row r="13" spans="1:106" ht="42" customHeight="1" x14ac:dyDescent="0.4">
      <c r="A13" s="36">
        <v>20</v>
      </c>
      <c r="B13" s="35" t="str">
        <f>INDEX(E13:DB13,,Selection!B4)</f>
        <v>Passenger/operating crew compartment</v>
      </c>
      <c r="E13" s="28"/>
      <c r="F13" s="28"/>
      <c r="G13" s="28"/>
      <c r="H13" s="28"/>
      <c r="I13" s="28"/>
      <c r="J13" s="28"/>
      <c r="K13" s="28"/>
      <c r="L13" s="28"/>
      <c r="M13" s="28"/>
      <c r="N13" s="28"/>
      <c r="O13" s="28"/>
      <c r="P13" s="28"/>
      <c r="Q13" s="28"/>
      <c r="R13" s="28"/>
      <c r="S13" s="28"/>
      <c r="T13" s="28"/>
      <c r="U13" s="28"/>
      <c r="V13" s="28"/>
      <c r="W13" s="28"/>
      <c r="X13" s="29" t="s">
        <v>98</v>
      </c>
      <c r="Y13" s="29" t="s">
        <v>5</v>
      </c>
      <c r="Z13" s="29" t="s">
        <v>15</v>
      </c>
      <c r="AA13" s="29" t="s">
        <v>22</v>
      </c>
      <c r="AB13" s="29" t="s">
        <v>33</v>
      </c>
      <c r="AC13" s="29" t="s">
        <v>43</v>
      </c>
      <c r="AD13" s="28" t="s">
        <v>236</v>
      </c>
      <c r="AE13" s="28" t="s">
        <v>216</v>
      </c>
      <c r="AF13" s="28" t="s">
        <v>5</v>
      </c>
      <c r="AG13" s="28" t="s">
        <v>232</v>
      </c>
      <c r="AH13" s="28" t="s">
        <v>239</v>
      </c>
      <c r="AI13" s="30" t="s">
        <v>248</v>
      </c>
      <c r="AJ13" s="30" t="s">
        <v>256</v>
      </c>
      <c r="AK13" s="30" t="s">
        <v>266</v>
      </c>
      <c r="AL13" s="30" t="s">
        <v>272</v>
      </c>
      <c r="AM13" s="28" t="s">
        <v>280</v>
      </c>
      <c r="AN13" s="30" t="s">
        <v>285</v>
      </c>
      <c r="AO13" s="28" t="s">
        <v>227</v>
      </c>
      <c r="AP13" s="28" t="s">
        <v>289</v>
      </c>
      <c r="AQ13" s="30" t="s">
        <v>294</v>
      </c>
      <c r="AR13" s="30" t="s">
        <v>302</v>
      </c>
      <c r="AS13" s="28" t="s">
        <v>226</v>
      </c>
      <c r="AT13" s="30" t="s">
        <v>313</v>
      </c>
      <c r="AU13" s="28" t="s">
        <v>320</v>
      </c>
      <c r="AV13" s="30" t="s">
        <v>324</v>
      </c>
      <c r="AW13" s="30" t="s">
        <v>334</v>
      </c>
      <c r="AX13" s="28"/>
      <c r="AY13" s="30" t="s">
        <v>427</v>
      </c>
      <c r="AZ13" s="28" t="s">
        <v>5</v>
      </c>
      <c r="BA13" s="28" t="s">
        <v>5</v>
      </c>
      <c r="BB13" s="28" t="s">
        <v>358</v>
      </c>
      <c r="BC13" s="30" t="s">
        <v>368</v>
      </c>
      <c r="BD13" s="28" t="s">
        <v>375</v>
      </c>
      <c r="BE13" s="28" t="s">
        <v>384</v>
      </c>
      <c r="BF13" s="30" t="s">
        <v>392</v>
      </c>
      <c r="BG13" s="38" t="s">
        <v>401</v>
      </c>
      <c r="BH13" s="28" t="s">
        <v>406</v>
      </c>
      <c r="BI13" s="30" t="s">
        <v>411</v>
      </c>
      <c r="BJ13" s="28" t="s">
        <v>416</v>
      </c>
      <c r="BK13" s="28"/>
      <c r="BL13" s="28"/>
      <c r="BM13" s="37" t="s">
        <v>424</v>
      </c>
      <c r="BN13" s="28" t="s">
        <v>352</v>
      </c>
      <c r="BO13" s="28" t="s">
        <v>436</v>
      </c>
      <c r="BP13" s="28" t="s">
        <v>440</v>
      </c>
      <c r="BQ13" s="28" t="s">
        <v>445</v>
      </c>
      <c r="BR13" s="28" t="s">
        <v>440</v>
      </c>
      <c r="BS13" s="28" t="s">
        <v>451</v>
      </c>
      <c r="BT13" s="30" t="s">
        <v>455</v>
      </c>
      <c r="BU13" s="38"/>
      <c r="BV13" s="38"/>
      <c r="BW13" s="30" t="s">
        <v>458</v>
      </c>
      <c r="BX13" s="28" t="s">
        <v>467</v>
      </c>
      <c r="BY13" s="28" t="s">
        <v>476</v>
      </c>
      <c r="BZ13" s="28" t="s">
        <v>352</v>
      </c>
      <c r="CA13" s="28" t="s">
        <v>5</v>
      </c>
      <c r="CB13" s="28" t="s">
        <v>8</v>
      </c>
      <c r="CC13" s="30" t="s">
        <v>493</v>
      </c>
      <c r="CD13" s="28" t="s">
        <v>495</v>
      </c>
      <c r="CE13" s="28" t="s">
        <v>499</v>
      </c>
      <c r="CF13" s="28" t="s">
        <v>5</v>
      </c>
      <c r="CG13" s="28" t="s">
        <v>559</v>
      </c>
      <c r="CH13" s="30" t="s">
        <v>508</v>
      </c>
      <c r="CI13" s="28" t="s">
        <v>5</v>
      </c>
      <c r="CJ13" s="30" t="s">
        <v>513</v>
      </c>
      <c r="CK13" s="28" t="s">
        <v>559</v>
      </c>
      <c r="CL13" s="30" t="s">
        <v>518</v>
      </c>
      <c r="CM13" s="28" t="s">
        <v>526</v>
      </c>
      <c r="CN13" s="28" t="s">
        <v>559</v>
      </c>
      <c r="CO13" s="28" t="s">
        <v>559</v>
      </c>
      <c r="CP13" s="28" t="s">
        <v>559</v>
      </c>
      <c r="CQ13" s="30" t="s">
        <v>131</v>
      </c>
      <c r="CR13" s="28" t="s">
        <v>559</v>
      </c>
      <c r="CS13" s="30" t="s">
        <v>137</v>
      </c>
      <c r="CT13" s="30" t="s">
        <v>145</v>
      </c>
      <c r="CU13" s="30" t="s">
        <v>53</v>
      </c>
      <c r="CV13" s="30" t="s">
        <v>158</v>
      </c>
      <c r="CW13" s="30" t="s">
        <v>531</v>
      </c>
      <c r="CX13" s="30" t="s">
        <v>536</v>
      </c>
      <c r="CY13" s="28" t="s">
        <v>544</v>
      </c>
      <c r="CZ13" s="43" t="s">
        <v>160</v>
      </c>
    </row>
    <row r="14" spans="1:106" ht="55.5" customHeight="1" x14ac:dyDescent="0.4">
      <c r="A14" s="36">
        <v>30</v>
      </c>
      <c r="B14" s="35" t="str">
        <f>INDEX(E14:DB14,,Selection!B4)</f>
        <v>Buffet/galley</v>
      </c>
      <c r="E14" s="28"/>
      <c r="F14" s="28"/>
      <c r="G14" s="28"/>
      <c r="H14" s="28"/>
      <c r="I14" s="28"/>
      <c r="J14" s="28"/>
      <c r="K14" s="28"/>
      <c r="L14" s="28"/>
      <c r="M14" s="28"/>
      <c r="N14" s="28"/>
      <c r="O14" s="28"/>
      <c r="P14" s="28"/>
      <c r="Q14" s="28"/>
      <c r="R14" s="28"/>
      <c r="S14" s="28"/>
      <c r="T14" s="28"/>
      <c r="U14" s="28"/>
      <c r="V14" s="28"/>
      <c r="W14" s="28"/>
      <c r="X14" s="29" t="s">
        <v>99</v>
      </c>
      <c r="Y14" s="29" t="s">
        <v>6</v>
      </c>
      <c r="Z14" s="29" t="s">
        <v>16</v>
      </c>
      <c r="AA14" s="29" t="s">
        <v>23</v>
      </c>
      <c r="AB14" s="29" t="s">
        <v>34</v>
      </c>
      <c r="AC14" s="29" t="s">
        <v>45</v>
      </c>
      <c r="AD14" s="28" t="s">
        <v>237</v>
      </c>
      <c r="AE14" s="28" t="s">
        <v>217</v>
      </c>
      <c r="AF14" s="28" t="s">
        <v>226</v>
      </c>
      <c r="AG14" s="28" t="s">
        <v>227</v>
      </c>
      <c r="AH14" s="28" t="s">
        <v>240</v>
      </c>
      <c r="AI14" s="28" t="s">
        <v>249</v>
      </c>
      <c r="AJ14" s="30" t="s">
        <v>257</v>
      </c>
      <c r="AK14" s="30" t="s">
        <v>267</v>
      </c>
      <c r="AL14" s="30" t="s">
        <v>273</v>
      </c>
      <c r="AM14" s="28" t="s">
        <v>281</v>
      </c>
      <c r="AN14" s="28" t="s">
        <v>559</v>
      </c>
      <c r="AO14" s="28" t="s">
        <v>559</v>
      </c>
      <c r="AP14" s="30" t="s">
        <v>290</v>
      </c>
      <c r="AQ14" s="30" t="s">
        <v>295</v>
      </c>
      <c r="AR14" s="28" t="s">
        <v>303</v>
      </c>
      <c r="AS14" s="28" t="s">
        <v>310</v>
      </c>
      <c r="AT14" s="30" t="s">
        <v>314</v>
      </c>
      <c r="AU14" s="30" t="s">
        <v>321</v>
      </c>
      <c r="AV14" s="30" t="s">
        <v>325</v>
      </c>
      <c r="AW14" s="30" t="s">
        <v>335</v>
      </c>
      <c r="AX14" s="28"/>
      <c r="AY14" s="28" t="s">
        <v>428</v>
      </c>
      <c r="AZ14" s="28" t="s">
        <v>352</v>
      </c>
      <c r="BA14" s="28" t="s">
        <v>354</v>
      </c>
      <c r="BB14" s="30" t="s">
        <v>359</v>
      </c>
      <c r="BC14" s="30" t="s">
        <v>369</v>
      </c>
      <c r="BD14" s="28" t="s">
        <v>376</v>
      </c>
      <c r="BE14" s="28" t="s">
        <v>385</v>
      </c>
      <c r="BF14" s="30" t="s">
        <v>393</v>
      </c>
      <c r="BG14" s="38" t="s">
        <v>401</v>
      </c>
      <c r="BH14" s="30" t="s">
        <v>407</v>
      </c>
      <c r="BI14" s="28" t="s">
        <v>412</v>
      </c>
      <c r="BJ14" s="28" t="s">
        <v>417</v>
      </c>
      <c r="BK14" s="28" t="s">
        <v>559</v>
      </c>
      <c r="BL14" s="28"/>
      <c r="BM14" s="37" t="s">
        <v>424</v>
      </c>
      <c r="BN14" s="28" t="s">
        <v>432</v>
      </c>
      <c r="BO14" s="30" t="s">
        <v>437</v>
      </c>
      <c r="BP14" s="30" t="s">
        <v>441</v>
      </c>
      <c r="BQ14" s="30" t="s">
        <v>446</v>
      </c>
      <c r="BR14" s="30" t="s">
        <v>449</v>
      </c>
      <c r="BS14" s="30" t="s">
        <v>452</v>
      </c>
      <c r="BT14" s="30" t="s">
        <v>456</v>
      </c>
      <c r="BU14" s="38"/>
      <c r="BV14" s="38"/>
      <c r="BW14" s="28" t="s">
        <v>459</v>
      </c>
      <c r="BX14" s="28" t="s">
        <v>468</v>
      </c>
      <c r="BY14" s="30" t="s">
        <v>477</v>
      </c>
      <c r="BZ14" s="28" t="s">
        <v>227</v>
      </c>
      <c r="CA14" s="28" t="s">
        <v>488</v>
      </c>
      <c r="CB14" s="30" t="s">
        <v>490</v>
      </c>
      <c r="CC14" s="28" t="s">
        <v>559</v>
      </c>
      <c r="CD14" s="28" t="s">
        <v>496</v>
      </c>
      <c r="CE14" s="28" t="s">
        <v>500</v>
      </c>
      <c r="CF14" s="28" t="s">
        <v>227</v>
      </c>
      <c r="CG14" s="28" t="s">
        <v>559</v>
      </c>
      <c r="CH14" s="28" t="s">
        <v>559</v>
      </c>
      <c r="CI14" s="30" t="s">
        <v>510</v>
      </c>
      <c r="CJ14" s="28" t="s">
        <v>559</v>
      </c>
      <c r="CK14" s="28" t="s">
        <v>559</v>
      </c>
      <c r="CL14" s="30" t="s">
        <v>519</v>
      </c>
      <c r="CM14" s="30" t="s">
        <v>527</v>
      </c>
      <c r="CN14" s="28" t="s">
        <v>559</v>
      </c>
      <c r="CO14" s="28" t="s">
        <v>559</v>
      </c>
      <c r="CP14" s="28" t="s">
        <v>559</v>
      </c>
      <c r="CQ14" s="28" t="s">
        <v>132</v>
      </c>
      <c r="CR14" s="28" t="s">
        <v>559</v>
      </c>
      <c r="CS14" s="30" t="s">
        <v>138</v>
      </c>
      <c r="CT14" s="30" t="s">
        <v>146</v>
      </c>
      <c r="CU14" s="30" t="s">
        <v>154</v>
      </c>
      <c r="CV14" s="30" t="s">
        <v>159</v>
      </c>
      <c r="CW14" s="28" t="s">
        <v>532</v>
      </c>
      <c r="CX14" s="30" t="s">
        <v>537</v>
      </c>
      <c r="CY14" s="28" t="s">
        <v>545</v>
      </c>
      <c r="CZ14" s="43" t="s">
        <v>549</v>
      </c>
    </row>
    <row r="15" spans="1:106" ht="52.5" customHeight="1" x14ac:dyDescent="0.4">
      <c r="A15" s="36">
        <v>40</v>
      </c>
      <c r="B15" s="35" t="str">
        <f>INDEX(E15:DB15,,Selection!B4)</f>
        <v>Lavatories</v>
      </c>
      <c r="E15" s="28"/>
      <c r="F15" s="28"/>
      <c r="G15" s="28"/>
      <c r="H15" s="28"/>
      <c r="I15" s="28"/>
      <c r="J15" s="28"/>
      <c r="K15" s="28"/>
      <c r="L15" s="28"/>
      <c r="M15" s="28"/>
      <c r="N15" s="28"/>
      <c r="O15" s="28"/>
      <c r="P15" s="28"/>
      <c r="Q15" s="28"/>
      <c r="R15" s="28"/>
      <c r="S15" s="28"/>
      <c r="T15" s="28"/>
      <c r="U15" s="28"/>
      <c r="V15" s="28"/>
      <c r="W15" s="28"/>
      <c r="X15" s="29" t="s">
        <v>100</v>
      </c>
      <c r="Y15" s="29" t="s">
        <v>7</v>
      </c>
      <c r="Z15" s="29" t="s">
        <v>17</v>
      </c>
      <c r="AA15" s="29" t="s">
        <v>24</v>
      </c>
      <c r="AB15" s="29" t="s">
        <v>35</v>
      </c>
      <c r="AC15" s="29" t="s">
        <v>47</v>
      </c>
      <c r="AD15" s="28" t="s">
        <v>559</v>
      </c>
      <c r="AE15" s="28" t="s">
        <v>218</v>
      </c>
      <c r="AF15" s="28" t="s">
        <v>227</v>
      </c>
      <c r="AG15" s="28" t="s">
        <v>559</v>
      </c>
      <c r="AH15" s="30" t="s">
        <v>241</v>
      </c>
      <c r="AI15" s="28" t="s">
        <v>250</v>
      </c>
      <c r="AJ15" s="30" t="s">
        <v>258</v>
      </c>
      <c r="AK15" s="28" t="s">
        <v>268</v>
      </c>
      <c r="AL15" s="30" t="s">
        <v>274</v>
      </c>
      <c r="AM15" s="30" t="s">
        <v>282</v>
      </c>
      <c r="AN15" s="28" t="s">
        <v>559</v>
      </c>
      <c r="AO15" s="28" t="s">
        <v>559</v>
      </c>
      <c r="AP15" s="28" t="s">
        <v>291</v>
      </c>
      <c r="AQ15" s="30" t="s">
        <v>296</v>
      </c>
      <c r="AR15" s="30" t="s">
        <v>304</v>
      </c>
      <c r="AS15" s="28" t="s">
        <v>559</v>
      </c>
      <c r="AT15" s="30" t="s">
        <v>315</v>
      </c>
      <c r="AU15" s="28" t="s">
        <v>559</v>
      </c>
      <c r="AV15" s="30" t="s">
        <v>326</v>
      </c>
      <c r="AW15" s="30" t="s">
        <v>336</v>
      </c>
      <c r="AX15" s="28"/>
      <c r="AY15" s="37" t="s">
        <v>429</v>
      </c>
      <c r="AZ15" s="28" t="s">
        <v>227</v>
      </c>
      <c r="BA15" s="28" t="s">
        <v>355</v>
      </c>
      <c r="BB15" s="28" t="s">
        <v>360</v>
      </c>
      <c r="BC15" s="28" t="s">
        <v>370</v>
      </c>
      <c r="BD15" s="28" t="s">
        <v>377</v>
      </c>
      <c r="BE15" s="30" t="s">
        <v>386</v>
      </c>
      <c r="BF15" s="30" t="s">
        <v>394</v>
      </c>
      <c r="BG15" s="38" t="s">
        <v>401</v>
      </c>
      <c r="BH15" s="28" t="s">
        <v>408</v>
      </c>
      <c r="BI15" s="30" t="s">
        <v>413</v>
      </c>
      <c r="BJ15" s="30" t="s">
        <v>418</v>
      </c>
      <c r="BK15" s="28" t="s">
        <v>559</v>
      </c>
      <c r="BL15" s="28"/>
      <c r="BM15" s="37" t="s">
        <v>424</v>
      </c>
      <c r="BN15" s="28" t="s">
        <v>227</v>
      </c>
      <c r="BO15" s="28" t="s">
        <v>227</v>
      </c>
      <c r="BP15" s="28" t="s">
        <v>442</v>
      </c>
      <c r="BQ15" s="28" t="s">
        <v>442</v>
      </c>
      <c r="BR15" s="28" t="s">
        <v>227</v>
      </c>
      <c r="BS15" s="28" t="s">
        <v>559</v>
      </c>
      <c r="BT15" s="28" t="s">
        <v>559</v>
      </c>
      <c r="BU15" s="38"/>
      <c r="BV15" s="38"/>
      <c r="BW15" s="30" t="s">
        <v>460</v>
      </c>
      <c r="BX15" s="28" t="s">
        <v>469</v>
      </c>
      <c r="BY15" s="30" t="s">
        <v>478</v>
      </c>
      <c r="BZ15" s="28" t="s">
        <v>559</v>
      </c>
      <c r="CA15" s="28" t="s">
        <v>559</v>
      </c>
      <c r="CB15" s="28" t="s">
        <v>227</v>
      </c>
      <c r="CC15" s="28" t="s">
        <v>559</v>
      </c>
      <c r="CD15" s="30" t="s">
        <v>497</v>
      </c>
      <c r="CE15" s="28" t="s">
        <v>501</v>
      </c>
      <c r="CF15" s="28" t="s">
        <v>559</v>
      </c>
      <c r="CG15" s="28" t="s">
        <v>559</v>
      </c>
      <c r="CH15" s="28" t="s">
        <v>559</v>
      </c>
      <c r="CI15" s="28" t="s">
        <v>227</v>
      </c>
      <c r="CJ15" s="28" t="s">
        <v>559</v>
      </c>
      <c r="CK15" s="28" t="s">
        <v>559</v>
      </c>
      <c r="CL15" s="30" t="s">
        <v>520</v>
      </c>
      <c r="CM15" s="28" t="s">
        <v>528</v>
      </c>
      <c r="CN15" s="28" t="s">
        <v>559</v>
      </c>
      <c r="CO15" s="28" t="s">
        <v>559</v>
      </c>
      <c r="CP15" s="28" t="s">
        <v>559</v>
      </c>
      <c r="CQ15" s="30" t="s">
        <v>133</v>
      </c>
      <c r="CR15" s="28" t="s">
        <v>559</v>
      </c>
      <c r="CS15" s="30" t="s">
        <v>139</v>
      </c>
      <c r="CT15" s="30" t="s">
        <v>147</v>
      </c>
      <c r="CU15" s="30" t="s">
        <v>53</v>
      </c>
      <c r="CV15" s="30" t="s">
        <v>160</v>
      </c>
      <c r="CW15" s="28" t="s">
        <v>533</v>
      </c>
      <c r="CX15" s="30" t="s">
        <v>538</v>
      </c>
      <c r="CY15" s="28" t="s">
        <v>546</v>
      </c>
      <c r="CZ15" s="43" t="s">
        <v>160</v>
      </c>
    </row>
    <row r="16" spans="1:106" ht="40.5" customHeight="1" x14ac:dyDescent="0.4">
      <c r="A16" s="36">
        <v>50</v>
      </c>
      <c r="B16" s="35" t="str">
        <f>INDEX(E16:DB16,,Selection!B4)</f>
        <v>Additional compartments</v>
      </c>
      <c r="E16" s="28"/>
      <c r="F16" s="28"/>
      <c r="G16" s="28"/>
      <c r="H16" s="28"/>
      <c r="I16" s="28"/>
      <c r="J16" s="28"/>
      <c r="K16" s="28"/>
      <c r="L16" s="28"/>
      <c r="M16" s="28"/>
      <c r="N16" s="28"/>
      <c r="O16" s="28"/>
      <c r="P16" s="28"/>
      <c r="Q16" s="28"/>
      <c r="R16" s="28"/>
      <c r="S16" s="28"/>
      <c r="T16" s="28"/>
      <c r="U16" s="28"/>
      <c r="V16" s="28"/>
      <c r="W16" s="28"/>
      <c r="X16" s="29" t="s">
        <v>101</v>
      </c>
      <c r="Y16" s="29" t="s">
        <v>8</v>
      </c>
      <c r="Z16" s="29" t="s">
        <v>18</v>
      </c>
      <c r="AA16" s="29" t="s">
        <v>25</v>
      </c>
      <c r="AB16" s="29" t="s">
        <v>36</v>
      </c>
      <c r="AC16" s="29" t="s">
        <v>49</v>
      </c>
      <c r="AD16" s="28" t="s">
        <v>559</v>
      </c>
      <c r="AE16" s="28" t="s">
        <v>219</v>
      </c>
      <c r="AF16" s="30" t="s">
        <v>228</v>
      </c>
      <c r="AG16" s="28" t="s">
        <v>559</v>
      </c>
      <c r="AH16" s="30" t="s">
        <v>242</v>
      </c>
      <c r="AI16" s="30" t="s">
        <v>251</v>
      </c>
      <c r="AJ16" s="30" t="s">
        <v>259</v>
      </c>
      <c r="AK16" s="30" t="s">
        <v>269</v>
      </c>
      <c r="AL16" s="30" t="s">
        <v>275</v>
      </c>
      <c r="AM16" s="28" t="s">
        <v>559</v>
      </c>
      <c r="AN16" s="28" t="s">
        <v>559</v>
      </c>
      <c r="AO16" s="28" t="s">
        <v>559</v>
      </c>
      <c r="AP16" s="28" t="s">
        <v>559</v>
      </c>
      <c r="AQ16" s="28" t="s">
        <v>297</v>
      </c>
      <c r="AR16" s="28" t="s">
        <v>305</v>
      </c>
      <c r="AS16" s="28" t="s">
        <v>559</v>
      </c>
      <c r="AT16" s="30" t="s">
        <v>316</v>
      </c>
      <c r="AU16" s="28" t="s">
        <v>559</v>
      </c>
      <c r="AV16" s="28" t="s">
        <v>327</v>
      </c>
      <c r="AW16" s="30" t="s">
        <v>337</v>
      </c>
      <c r="AX16" s="28"/>
      <c r="AY16" s="37" t="s">
        <v>429</v>
      </c>
      <c r="AZ16" s="28" t="s">
        <v>559</v>
      </c>
      <c r="BA16" s="28" t="s">
        <v>227</v>
      </c>
      <c r="BB16" s="28" t="s">
        <v>361</v>
      </c>
      <c r="BC16" s="30" t="s">
        <v>371</v>
      </c>
      <c r="BD16" s="30" t="s">
        <v>378</v>
      </c>
      <c r="BE16" s="28" t="s">
        <v>387</v>
      </c>
      <c r="BF16" s="30" t="s">
        <v>395</v>
      </c>
      <c r="BG16" s="38" t="s">
        <v>402</v>
      </c>
      <c r="BH16" s="30" t="s">
        <v>409</v>
      </c>
      <c r="BI16" s="28"/>
      <c r="BJ16" s="30" t="s">
        <v>419</v>
      </c>
      <c r="BK16" s="28" t="s">
        <v>559</v>
      </c>
      <c r="BL16" s="28"/>
      <c r="BM16" s="37" t="s">
        <v>424</v>
      </c>
      <c r="BN16" s="28" t="s">
        <v>433</v>
      </c>
      <c r="BO16" s="28" t="s">
        <v>559</v>
      </c>
      <c r="BP16" s="28" t="s">
        <v>559</v>
      </c>
      <c r="BQ16" s="28" t="s">
        <v>559</v>
      </c>
      <c r="BR16" s="28" t="s">
        <v>559</v>
      </c>
      <c r="BS16" s="28" t="s">
        <v>559</v>
      </c>
      <c r="BT16" s="28" t="s">
        <v>559</v>
      </c>
      <c r="BU16" s="38"/>
      <c r="BV16" s="38"/>
      <c r="BW16" s="30" t="s">
        <v>461</v>
      </c>
      <c r="BX16" s="30" t="s">
        <v>470</v>
      </c>
      <c r="BY16" s="28" t="s">
        <v>479</v>
      </c>
      <c r="BZ16" s="28" t="s">
        <v>559</v>
      </c>
      <c r="CA16" s="28" t="s">
        <v>559</v>
      </c>
      <c r="CB16" s="30" t="s">
        <v>491</v>
      </c>
      <c r="CC16" s="28" t="s">
        <v>559</v>
      </c>
      <c r="CD16" s="28" t="s">
        <v>559</v>
      </c>
      <c r="CE16" s="28" t="s">
        <v>502</v>
      </c>
      <c r="CF16" s="28" t="s">
        <v>559</v>
      </c>
      <c r="CG16" s="28" t="s">
        <v>559</v>
      </c>
      <c r="CH16" s="28" t="s">
        <v>559</v>
      </c>
      <c r="CI16" s="28" t="s">
        <v>559</v>
      </c>
      <c r="CJ16" s="28" t="s">
        <v>559</v>
      </c>
      <c r="CK16" s="28" t="s">
        <v>559</v>
      </c>
      <c r="CL16" s="30" t="s">
        <v>521</v>
      </c>
      <c r="CM16" s="28" t="s">
        <v>559</v>
      </c>
      <c r="CN16" s="28" t="s">
        <v>559</v>
      </c>
      <c r="CO16" s="28" t="s">
        <v>559</v>
      </c>
      <c r="CP16" s="28" t="s">
        <v>559</v>
      </c>
      <c r="CQ16" s="28" t="s">
        <v>559</v>
      </c>
      <c r="CR16" s="28" t="s">
        <v>559</v>
      </c>
      <c r="CS16" s="30" t="s">
        <v>140</v>
      </c>
      <c r="CT16" s="30" t="s">
        <v>148</v>
      </c>
      <c r="CU16" s="30" t="s">
        <v>155</v>
      </c>
      <c r="CV16" s="28" t="s">
        <v>161</v>
      </c>
      <c r="CW16" s="28"/>
      <c r="CX16" s="30" t="s">
        <v>539</v>
      </c>
      <c r="CY16" s="28" t="s">
        <v>559</v>
      </c>
      <c r="CZ16" s="43" t="s">
        <v>550</v>
      </c>
    </row>
    <row r="17" spans="1:104" ht="57.75" customHeight="1" x14ac:dyDescent="0.4">
      <c r="A17" s="36">
        <v>60</v>
      </c>
      <c r="B17" s="35" t="str">
        <f>INDEX(E17:DB17,,Selection!B4)</f>
        <v>Emergency</v>
      </c>
      <c r="E17" s="28"/>
      <c r="F17" s="28"/>
      <c r="G17" s="28"/>
      <c r="H17" s="28"/>
      <c r="I17" s="28"/>
      <c r="J17" s="28"/>
      <c r="K17" s="28"/>
      <c r="L17" s="28"/>
      <c r="M17" s="28"/>
      <c r="N17" s="28"/>
      <c r="O17" s="28"/>
      <c r="P17" s="28"/>
      <c r="Q17" s="28"/>
      <c r="R17" s="28"/>
      <c r="S17" s="28"/>
      <c r="T17" s="28"/>
      <c r="U17" s="28"/>
      <c r="V17" s="28"/>
      <c r="W17" s="28"/>
      <c r="X17" s="29" t="s">
        <v>102</v>
      </c>
      <c r="Y17" s="29" t="s">
        <v>9</v>
      </c>
      <c r="Z17" s="28" t="s">
        <v>559</v>
      </c>
      <c r="AA17" s="29" t="s">
        <v>26</v>
      </c>
      <c r="AB17" s="29" t="s">
        <v>37</v>
      </c>
      <c r="AC17" s="29" t="s">
        <v>51</v>
      </c>
      <c r="AD17" s="28" t="s">
        <v>559</v>
      </c>
      <c r="AE17" s="30" t="s">
        <v>220</v>
      </c>
      <c r="AF17" s="30" t="s">
        <v>229</v>
      </c>
      <c r="AG17" s="28" t="s">
        <v>559</v>
      </c>
      <c r="AH17" s="28" t="s">
        <v>243</v>
      </c>
      <c r="AI17" s="28" t="s">
        <v>252</v>
      </c>
      <c r="AJ17" s="30" t="s">
        <v>260</v>
      </c>
      <c r="AK17" s="28" t="s">
        <v>559</v>
      </c>
      <c r="AL17" s="30" t="s">
        <v>276</v>
      </c>
      <c r="AM17" s="28" t="s">
        <v>559</v>
      </c>
      <c r="AN17" s="28" t="s">
        <v>559</v>
      </c>
      <c r="AO17" s="28" t="s">
        <v>559</v>
      </c>
      <c r="AP17" s="28" t="s">
        <v>559</v>
      </c>
      <c r="AQ17" s="30" t="s">
        <v>298</v>
      </c>
      <c r="AR17" s="30" t="s">
        <v>306</v>
      </c>
      <c r="AS17" s="28" t="s">
        <v>559</v>
      </c>
      <c r="AT17" s="30" t="s">
        <v>317</v>
      </c>
      <c r="AU17" s="28" t="s">
        <v>559</v>
      </c>
      <c r="AV17" s="28" t="s">
        <v>328</v>
      </c>
      <c r="AW17" s="30" t="s">
        <v>338</v>
      </c>
      <c r="AX17" s="28"/>
      <c r="AY17" s="37" t="s">
        <v>429</v>
      </c>
      <c r="AZ17" s="28" t="s">
        <v>559</v>
      </c>
      <c r="BA17" s="28" t="s">
        <v>226</v>
      </c>
      <c r="BB17" s="28" t="s">
        <v>362</v>
      </c>
      <c r="BC17" s="28" t="s">
        <v>372</v>
      </c>
      <c r="BD17" s="30" t="s">
        <v>379</v>
      </c>
      <c r="BE17" s="28" t="s">
        <v>388</v>
      </c>
      <c r="BF17" s="30" t="s">
        <v>396</v>
      </c>
      <c r="BG17" s="38" t="s">
        <v>402</v>
      </c>
      <c r="BH17" s="28" t="s">
        <v>559</v>
      </c>
      <c r="BI17" s="28" t="s">
        <v>559</v>
      </c>
      <c r="BJ17" s="30" t="s">
        <v>420</v>
      </c>
      <c r="BK17" s="28" t="s">
        <v>559</v>
      </c>
      <c r="BL17" s="28"/>
      <c r="BM17" s="37" t="s">
        <v>424</v>
      </c>
      <c r="BN17" s="28" t="s">
        <v>559</v>
      </c>
      <c r="BO17" s="28" t="s">
        <v>559</v>
      </c>
      <c r="BP17" s="28" t="s">
        <v>559</v>
      </c>
      <c r="BQ17" s="28" t="s">
        <v>559</v>
      </c>
      <c r="BR17" s="28" t="s">
        <v>559</v>
      </c>
      <c r="BS17" s="28" t="s">
        <v>559</v>
      </c>
      <c r="BT17" s="28" t="s">
        <v>559</v>
      </c>
      <c r="BU17" s="38"/>
      <c r="BV17" s="38"/>
      <c r="BW17" s="30" t="s">
        <v>462</v>
      </c>
      <c r="BX17" s="28" t="s">
        <v>471</v>
      </c>
      <c r="BY17" s="28" t="s">
        <v>480</v>
      </c>
      <c r="BZ17" s="28" t="s">
        <v>559</v>
      </c>
      <c r="CA17" s="28" t="s">
        <v>559</v>
      </c>
      <c r="CB17" s="28" t="s">
        <v>559</v>
      </c>
      <c r="CC17" s="28" t="s">
        <v>559</v>
      </c>
      <c r="CD17" s="28" t="s">
        <v>559</v>
      </c>
      <c r="CE17" s="28" t="s">
        <v>503</v>
      </c>
      <c r="CF17" s="28" t="s">
        <v>559</v>
      </c>
      <c r="CG17" s="28" t="s">
        <v>559</v>
      </c>
      <c r="CH17" s="28" t="s">
        <v>559</v>
      </c>
      <c r="CI17" s="28" t="s">
        <v>559</v>
      </c>
      <c r="CJ17" s="28" t="s">
        <v>559</v>
      </c>
      <c r="CK17" s="28" t="s">
        <v>559</v>
      </c>
      <c r="CL17" s="30" t="s">
        <v>522</v>
      </c>
      <c r="CM17" s="28" t="s">
        <v>559</v>
      </c>
      <c r="CN17" s="28" t="s">
        <v>559</v>
      </c>
      <c r="CO17" s="28" t="s">
        <v>559</v>
      </c>
      <c r="CP17" s="28" t="s">
        <v>559</v>
      </c>
      <c r="CQ17" s="28" t="s">
        <v>559</v>
      </c>
      <c r="CR17" s="28" t="s">
        <v>559</v>
      </c>
      <c r="CS17" s="30" t="s">
        <v>141</v>
      </c>
      <c r="CT17" s="30" t="s">
        <v>149</v>
      </c>
      <c r="CU17" s="30" t="s">
        <v>53</v>
      </c>
      <c r="CV17" s="30" t="s">
        <v>162</v>
      </c>
      <c r="CW17" s="28" t="s">
        <v>559</v>
      </c>
      <c r="CX17" s="30" t="s">
        <v>540</v>
      </c>
      <c r="CY17" s="28" t="s">
        <v>559</v>
      </c>
      <c r="CZ17" s="43" t="s">
        <v>160</v>
      </c>
    </row>
    <row r="18" spans="1:104" ht="49.5" customHeight="1" x14ac:dyDescent="0.4">
      <c r="A18" s="36">
        <v>70</v>
      </c>
      <c r="B18" s="35" t="str">
        <f>INDEX(E18:DB18,,Selection!B4)</f>
        <v>Available for projects</v>
      </c>
      <c r="E18" s="28"/>
      <c r="F18" s="28"/>
      <c r="G18" s="28"/>
      <c r="H18" s="28"/>
      <c r="I18" s="28"/>
      <c r="J18" s="28"/>
      <c r="K18" s="28"/>
      <c r="L18" s="28"/>
      <c r="M18" s="28"/>
      <c r="N18" s="28"/>
      <c r="O18" s="28"/>
      <c r="P18" s="28"/>
      <c r="Q18" s="28"/>
      <c r="R18" s="28"/>
      <c r="S18" s="28"/>
      <c r="T18" s="28"/>
      <c r="U18" s="28"/>
      <c r="V18" s="28"/>
      <c r="W18" s="28"/>
      <c r="X18" s="29" t="s">
        <v>103</v>
      </c>
      <c r="Y18" s="29" t="s">
        <v>10</v>
      </c>
      <c r="Z18" s="28" t="s">
        <v>559</v>
      </c>
      <c r="AA18" s="29" t="s">
        <v>27</v>
      </c>
      <c r="AB18" s="29" t="s">
        <v>38</v>
      </c>
      <c r="AC18" s="29" t="s">
        <v>53</v>
      </c>
      <c r="AD18" s="28" t="s">
        <v>559</v>
      </c>
      <c r="AE18" s="30" t="s">
        <v>221</v>
      </c>
      <c r="AF18" s="28" t="s">
        <v>559</v>
      </c>
      <c r="AG18" s="28" t="s">
        <v>559</v>
      </c>
      <c r="AH18" s="28" t="s">
        <v>244</v>
      </c>
      <c r="AI18" s="30" t="s">
        <v>253</v>
      </c>
      <c r="AJ18" s="30" t="s">
        <v>261</v>
      </c>
      <c r="AK18" s="28" t="s">
        <v>559</v>
      </c>
      <c r="AL18" s="30" t="s">
        <v>277</v>
      </c>
      <c r="AM18" s="28" t="s">
        <v>559</v>
      </c>
      <c r="AN18" s="28" t="s">
        <v>559</v>
      </c>
      <c r="AO18" s="28" t="s">
        <v>559</v>
      </c>
      <c r="AP18" s="28" t="s">
        <v>559</v>
      </c>
      <c r="AQ18" s="30" t="s">
        <v>299</v>
      </c>
      <c r="AR18" s="30" t="s">
        <v>307</v>
      </c>
      <c r="AS18" s="28" t="s">
        <v>559</v>
      </c>
      <c r="AT18" s="30" t="s">
        <v>318</v>
      </c>
      <c r="AU18" s="28" t="s">
        <v>559</v>
      </c>
      <c r="AV18" s="30" t="s">
        <v>329</v>
      </c>
      <c r="AW18" s="28" t="s">
        <v>559</v>
      </c>
      <c r="AX18" s="28"/>
      <c r="AY18" s="37" t="s">
        <v>429</v>
      </c>
      <c r="AZ18" s="28" t="s">
        <v>559</v>
      </c>
      <c r="BA18" s="28" t="s">
        <v>559</v>
      </c>
      <c r="BB18" s="30" t="s">
        <v>363</v>
      </c>
      <c r="BC18" s="28" t="s">
        <v>559</v>
      </c>
      <c r="BD18" s="28" t="s">
        <v>380</v>
      </c>
      <c r="BE18" s="28" t="s">
        <v>389</v>
      </c>
      <c r="BF18" s="30" t="s">
        <v>397</v>
      </c>
      <c r="BG18" s="38" t="s">
        <v>402</v>
      </c>
      <c r="BH18" s="28" t="s">
        <v>559</v>
      </c>
      <c r="BI18" s="28" t="s">
        <v>559</v>
      </c>
      <c r="BJ18" s="28" t="s">
        <v>421</v>
      </c>
      <c r="BK18" s="28" t="s">
        <v>559</v>
      </c>
      <c r="BL18" s="28"/>
      <c r="BM18" s="37" t="s">
        <v>424</v>
      </c>
      <c r="BN18" s="28" t="s">
        <v>559</v>
      </c>
      <c r="BO18" s="28" t="s">
        <v>559</v>
      </c>
      <c r="BP18" s="28" t="s">
        <v>559</v>
      </c>
      <c r="BQ18" s="28" t="s">
        <v>559</v>
      </c>
      <c r="BR18" s="28" t="s">
        <v>559</v>
      </c>
      <c r="BS18" s="28" t="s">
        <v>559</v>
      </c>
      <c r="BT18" s="28" t="s">
        <v>559</v>
      </c>
      <c r="BU18" s="38"/>
      <c r="BV18" s="38"/>
      <c r="BW18" s="28" t="s">
        <v>463</v>
      </c>
      <c r="BX18" s="28" t="s">
        <v>472</v>
      </c>
      <c r="BY18" s="28" t="s">
        <v>481</v>
      </c>
      <c r="BZ18" s="28" t="s">
        <v>559</v>
      </c>
      <c r="CA18" s="28" t="s">
        <v>559</v>
      </c>
      <c r="CB18" s="28" t="s">
        <v>559</v>
      </c>
      <c r="CC18" s="28" t="s">
        <v>559</v>
      </c>
      <c r="CD18" s="28" t="s">
        <v>559</v>
      </c>
      <c r="CE18" s="28" t="s">
        <v>559</v>
      </c>
      <c r="CF18" s="28" t="s">
        <v>559</v>
      </c>
      <c r="CG18" s="28" t="s">
        <v>559</v>
      </c>
      <c r="CH18" s="28" t="s">
        <v>559</v>
      </c>
      <c r="CI18" s="28" t="s">
        <v>559</v>
      </c>
      <c r="CJ18" s="28" t="s">
        <v>559</v>
      </c>
      <c r="CK18" s="28" t="s">
        <v>559</v>
      </c>
      <c r="CL18" s="28" t="s">
        <v>523</v>
      </c>
      <c r="CM18" s="28" t="s">
        <v>559</v>
      </c>
      <c r="CN18" s="28" t="s">
        <v>559</v>
      </c>
      <c r="CO18" s="28" t="s">
        <v>559</v>
      </c>
      <c r="CP18" s="28" t="s">
        <v>559</v>
      </c>
      <c r="CQ18" s="28" t="s">
        <v>559</v>
      </c>
      <c r="CR18" s="28" t="s">
        <v>559</v>
      </c>
      <c r="CS18" s="28" t="s">
        <v>142</v>
      </c>
      <c r="CT18" s="30" t="s">
        <v>150</v>
      </c>
      <c r="CU18" s="30" t="s">
        <v>156</v>
      </c>
      <c r="CV18" s="30" t="s">
        <v>163</v>
      </c>
      <c r="CW18" s="28" t="s">
        <v>559</v>
      </c>
      <c r="CX18" s="28" t="s">
        <v>541</v>
      </c>
      <c r="CY18" s="28" t="s">
        <v>559</v>
      </c>
      <c r="CZ18" s="41" t="s">
        <v>551</v>
      </c>
    </row>
    <row r="19" spans="1:104" ht="42" customHeight="1" x14ac:dyDescent="0.4">
      <c r="A19" s="36">
        <v>80</v>
      </c>
      <c r="B19" s="35" t="str">
        <f>INDEX(E19:DB19,,Selection!B4)</f>
        <v>Insulation and lining</v>
      </c>
      <c r="E19" s="28"/>
      <c r="F19" s="28"/>
      <c r="G19" s="28"/>
      <c r="H19" s="28"/>
      <c r="I19" s="28"/>
      <c r="J19" s="28"/>
      <c r="K19" s="28"/>
      <c r="L19" s="28"/>
      <c r="M19" s="28"/>
      <c r="N19" s="28"/>
      <c r="O19" s="28"/>
      <c r="P19" s="28"/>
      <c r="Q19" s="28"/>
      <c r="R19" s="28"/>
      <c r="S19" s="28"/>
      <c r="T19" s="28"/>
      <c r="U19" s="28"/>
      <c r="V19" s="28"/>
      <c r="W19" s="28"/>
      <c r="X19" s="29" t="s">
        <v>104</v>
      </c>
      <c r="Y19" s="29" t="s">
        <v>11</v>
      </c>
      <c r="Z19" s="28" t="s">
        <v>559</v>
      </c>
      <c r="AA19" s="29" t="s">
        <v>28</v>
      </c>
      <c r="AB19" s="29" t="s">
        <v>39</v>
      </c>
      <c r="AC19" s="29" t="s">
        <v>54</v>
      </c>
      <c r="AD19" s="28" t="s">
        <v>559</v>
      </c>
      <c r="AE19" s="28" t="s">
        <v>222</v>
      </c>
      <c r="AF19" s="28" t="s">
        <v>559</v>
      </c>
      <c r="AG19" s="28" t="s">
        <v>559</v>
      </c>
      <c r="AH19" s="28" t="s">
        <v>245</v>
      </c>
      <c r="AI19" s="28" t="s">
        <v>559</v>
      </c>
      <c r="AJ19" s="28" t="s">
        <v>262</v>
      </c>
      <c r="AK19" s="28" t="s">
        <v>559</v>
      </c>
      <c r="AL19" s="28" t="s">
        <v>559</v>
      </c>
      <c r="AM19" s="28" t="s">
        <v>559</v>
      </c>
      <c r="AN19" s="28" t="s">
        <v>559</v>
      </c>
      <c r="AO19" s="28" t="s">
        <v>559</v>
      </c>
      <c r="AP19" s="28" t="s">
        <v>559</v>
      </c>
      <c r="AQ19" s="28" t="s">
        <v>559</v>
      </c>
      <c r="AR19" s="28" t="s">
        <v>559</v>
      </c>
      <c r="AS19" s="28" t="s">
        <v>559</v>
      </c>
      <c r="AT19" s="28" t="s">
        <v>559</v>
      </c>
      <c r="AU19" s="28" t="s">
        <v>559</v>
      </c>
      <c r="AV19" s="30" t="s">
        <v>330</v>
      </c>
      <c r="AW19" s="28" t="s">
        <v>559</v>
      </c>
      <c r="AX19" s="28"/>
      <c r="AY19" s="28" t="s">
        <v>559</v>
      </c>
      <c r="AZ19" s="28" t="s">
        <v>559</v>
      </c>
      <c r="BA19" s="28" t="s">
        <v>559</v>
      </c>
      <c r="BB19" s="28" t="s">
        <v>364</v>
      </c>
      <c r="BC19" s="28" t="s">
        <v>559</v>
      </c>
      <c r="BD19" s="30" t="s">
        <v>381</v>
      </c>
      <c r="BE19" s="28" t="s">
        <v>254</v>
      </c>
      <c r="BF19" s="30" t="s">
        <v>398</v>
      </c>
      <c r="BG19" s="38" t="s">
        <v>402</v>
      </c>
      <c r="BH19" s="28" t="s">
        <v>559</v>
      </c>
      <c r="BI19" s="28" t="s">
        <v>559</v>
      </c>
      <c r="BJ19" s="28" t="s">
        <v>422</v>
      </c>
      <c r="BK19" s="28" t="s">
        <v>559</v>
      </c>
      <c r="BL19" s="28"/>
      <c r="BM19" s="37" t="s">
        <v>424</v>
      </c>
      <c r="BN19" s="28" t="s">
        <v>559</v>
      </c>
      <c r="BO19" s="28" t="s">
        <v>559</v>
      </c>
      <c r="BP19" s="28" t="s">
        <v>559</v>
      </c>
      <c r="BQ19" s="28" t="s">
        <v>559</v>
      </c>
      <c r="BR19" s="28" t="s">
        <v>559</v>
      </c>
      <c r="BS19" s="28" t="s">
        <v>559</v>
      </c>
      <c r="BT19" s="28" t="s">
        <v>559</v>
      </c>
      <c r="BU19" s="38"/>
      <c r="BV19" s="38"/>
      <c r="BW19" s="28" t="s">
        <v>464</v>
      </c>
      <c r="BX19" s="30" t="s">
        <v>473</v>
      </c>
      <c r="BY19" s="30" t="s">
        <v>482</v>
      </c>
      <c r="BZ19" s="28" t="s">
        <v>559</v>
      </c>
      <c r="CA19" s="28" t="s">
        <v>559</v>
      </c>
      <c r="CB19" s="28" t="s">
        <v>559</v>
      </c>
      <c r="CC19" s="28" t="s">
        <v>559</v>
      </c>
      <c r="CD19" s="28" t="s">
        <v>559</v>
      </c>
      <c r="CE19" s="28" t="s">
        <v>559</v>
      </c>
      <c r="CF19" s="28" t="s">
        <v>559</v>
      </c>
      <c r="CG19" s="28" t="s">
        <v>559</v>
      </c>
      <c r="CH19" s="28" t="s">
        <v>559</v>
      </c>
      <c r="CI19" s="28" t="s">
        <v>559</v>
      </c>
      <c r="CJ19" s="28" t="s">
        <v>559</v>
      </c>
      <c r="CK19" s="28" t="s">
        <v>559</v>
      </c>
      <c r="CL19" s="28" t="s">
        <v>559</v>
      </c>
      <c r="CM19" s="28" t="s">
        <v>559</v>
      </c>
      <c r="CN19" s="28" t="s">
        <v>559</v>
      </c>
      <c r="CO19" s="28" t="s">
        <v>559</v>
      </c>
      <c r="CP19" s="28" t="s">
        <v>559</v>
      </c>
      <c r="CQ19" s="28" t="s">
        <v>559</v>
      </c>
      <c r="CR19" s="28" t="s">
        <v>559</v>
      </c>
      <c r="CS19" s="30" t="s">
        <v>143</v>
      </c>
      <c r="CT19" s="30" t="s">
        <v>151</v>
      </c>
      <c r="CU19" s="28" t="s">
        <v>559</v>
      </c>
      <c r="CV19" s="28" t="s">
        <v>559</v>
      </c>
      <c r="CW19" s="28" t="s">
        <v>559</v>
      </c>
      <c r="CX19" s="28" t="s">
        <v>559</v>
      </c>
      <c r="CY19" s="28" t="s">
        <v>559</v>
      </c>
      <c r="CZ19" s="41" t="s">
        <v>552</v>
      </c>
    </row>
    <row r="20" spans="1:104" ht="41.25" customHeight="1" x14ac:dyDescent="0.4">
      <c r="A20" s="36">
        <v>90</v>
      </c>
      <c r="B20" s="35" t="str">
        <f>INDEX(E20:DB20,,Selection!B4)</f>
        <v>N/A</v>
      </c>
      <c r="E20" s="52"/>
      <c r="F20" s="52"/>
      <c r="G20" s="52"/>
      <c r="H20" s="52"/>
      <c r="I20" s="52"/>
      <c r="J20" s="52"/>
      <c r="K20" s="52"/>
      <c r="L20" s="52"/>
      <c r="M20" s="52"/>
      <c r="N20" s="52"/>
      <c r="O20" s="52"/>
      <c r="P20" s="52"/>
      <c r="Q20" s="52"/>
      <c r="R20" s="52"/>
      <c r="S20" s="52"/>
      <c r="T20" s="52"/>
      <c r="U20" s="52"/>
      <c r="V20" s="52"/>
      <c r="W20" s="52"/>
      <c r="X20" s="53" t="s">
        <v>105</v>
      </c>
      <c r="Y20" s="53" t="s">
        <v>12</v>
      </c>
      <c r="Z20" s="52" t="s">
        <v>559</v>
      </c>
      <c r="AA20" s="53" t="s">
        <v>29</v>
      </c>
      <c r="AB20" s="53" t="s">
        <v>40</v>
      </c>
      <c r="AC20" s="52" t="s">
        <v>559</v>
      </c>
      <c r="AD20" s="52" t="s">
        <v>559</v>
      </c>
      <c r="AE20" s="54" t="s">
        <v>223</v>
      </c>
      <c r="AF20" s="52" t="s">
        <v>559</v>
      </c>
      <c r="AG20" s="52" t="s">
        <v>559</v>
      </c>
      <c r="AH20" s="52" t="s">
        <v>559</v>
      </c>
      <c r="AI20" s="52" t="s">
        <v>559</v>
      </c>
      <c r="AJ20" s="54" t="s">
        <v>263</v>
      </c>
      <c r="AK20" s="52" t="s">
        <v>559</v>
      </c>
      <c r="AL20" s="52" t="s">
        <v>559</v>
      </c>
      <c r="AM20" s="52" t="s">
        <v>559</v>
      </c>
      <c r="AN20" s="52" t="s">
        <v>559</v>
      </c>
      <c r="AO20" s="52" t="s">
        <v>559</v>
      </c>
      <c r="AP20" s="52" t="s">
        <v>559</v>
      </c>
      <c r="AQ20" s="52" t="s">
        <v>559</v>
      </c>
      <c r="AR20" s="52" t="s">
        <v>559</v>
      </c>
      <c r="AS20" s="52" t="s">
        <v>559</v>
      </c>
      <c r="AT20" s="52" t="s">
        <v>559</v>
      </c>
      <c r="AU20" s="52" t="s">
        <v>559</v>
      </c>
      <c r="AV20" s="54" t="s">
        <v>331</v>
      </c>
      <c r="AW20" s="52" t="s">
        <v>559</v>
      </c>
      <c r="AX20" s="52"/>
      <c r="AY20" s="52" t="s">
        <v>559</v>
      </c>
      <c r="AZ20" s="52" t="s">
        <v>559</v>
      </c>
      <c r="BA20" s="52" t="s">
        <v>559</v>
      </c>
      <c r="BB20" s="52" t="s">
        <v>365</v>
      </c>
      <c r="BC20" s="52" t="s">
        <v>559</v>
      </c>
      <c r="BD20" s="52" t="s">
        <v>559</v>
      </c>
      <c r="BE20" s="52" t="s">
        <v>559</v>
      </c>
      <c r="BF20" s="54" t="s">
        <v>399</v>
      </c>
      <c r="BG20" s="52" t="s">
        <v>403</v>
      </c>
      <c r="BH20" s="52" t="s">
        <v>559</v>
      </c>
      <c r="BI20" s="52" t="s">
        <v>559</v>
      </c>
      <c r="BJ20" s="52" t="s">
        <v>559</v>
      </c>
      <c r="BK20" s="52" t="s">
        <v>559</v>
      </c>
      <c r="BL20" s="52"/>
      <c r="BM20" s="55" t="s">
        <v>424</v>
      </c>
      <c r="BN20" s="52" t="s">
        <v>559</v>
      </c>
      <c r="BO20" s="52" t="s">
        <v>559</v>
      </c>
      <c r="BP20" s="52" t="s">
        <v>559</v>
      </c>
      <c r="BQ20" s="52" t="s">
        <v>559</v>
      </c>
      <c r="BR20" s="52" t="s">
        <v>559</v>
      </c>
      <c r="BS20" s="52" t="s">
        <v>559</v>
      </c>
      <c r="BT20" s="52" t="s">
        <v>559</v>
      </c>
      <c r="BU20" s="52"/>
      <c r="BV20" s="52"/>
      <c r="BW20" s="52" t="s">
        <v>559</v>
      </c>
      <c r="BX20" s="52" t="s">
        <v>559</v>
      </c>
      <c r="BY20" s="54" t="s">
        <v>483</v>
      </c>
      <c r="BZ20" s="52" t="s">
        <v>559</v>
      </c>
      <c r="CA20" s="52" t="s">
        <v>559</v>
      </c>
      <c r="CB20" s="52" t="s">
        <v>559</v>
      </c>
      <c r="CC20" s="52" t="s">
        <v>559</v>
      </c>
      <c r="CD20" s="52" t="s">
        <v>559</v>
      </c>
      <c r="CE20" s="52" t="s">
        <v>559</v>
      </c>
      <c r="CF20" s="52" t="s">
        <v>559</v>
      </c>
      <c r="CG20" s="52" t="s">
        <v>559</v>
      </c>
      <c r="CH20" s="52" t="s">
        <v>559</v>
      </c>
      <c r="CI20" s="52" t="s">
        <v>559</v>
      </c>
      <c r="CJ20" s="52" t="s">
        <v>559</v>
      </c>
      <c r="CK20" s="52" t="s">
        <v>559</v>
      </c>
      <c r="CL20" s="52" t="s">
        <v>559</v>
      </c>
      <c r="CM20" s="52" t="s">
        <v>559</v>
      </c>
      <c r="CN20" s="52" t="s">
        <v>559</v>
      </c>
      <c r="CO20" s="52" t="s">
        <v>559</v>
      </c>
      <c r="CP20" s="52" t="s">
        <v>559</v>
      </c>
      <c r="CQ20" s="52" t="s">
        <v>559</v>
      </c>
      <c r="CR20" s="52" t="s">
        <v>559</v>
      </c>
      <c r="CS20" s="52" t="s">
        <v>559</v>
      </c>
      <c r="CT20" s="54" t="s">
        <v>152</v>
      </c>
      <c r="CU20" s="52" t="s">
        <v>559</v>
      </c>
      <c r="CV20" s="52" t="s">
        <v>559</v>
      </c>
      <c r="CW20" s="52" t="s">
        <v>559</v>
      </c>
      <c r="CX20" s="52" t="s">
        <v>559</v>
      </c>
      <c r="CY20" s="52" t="s">
        <v>559</v>
      </c>
      <c r="CZ20" s="52" t="s">
        <v>559</v>
      </c>
    </row>
    <row r="21" spans="1:104" x14ac:dyDescent="0.3">
      <c r="B21" s="35"/>
    </row>
    <row r="22" spans="1:104" x14ac:dyDescent="0.3">
      <c r="B22" s="35"/>
    </row>
    <row r="28" spans="1:104" x14ac:dyDescent="0.3">
      <c r="B28" s="56" t="s">
        <v>191</v>
      </c>
      <c r="C28" s="56"/>
      <c r="D28" s="56"/>
      <c r="E28" s="56"/>
      <c r="F28" s="56"/>
      <c r="G28" s="56"/>
      <c r="H28" s="56" t="s">
        <v>190</v>
      </c>
      <c r="I28" s="56"/>
      <c r="J28" s="56"/>
      <c r="K28" s="56"/>
      <c r="L28" s="56"/>
      <c r="M28" s="56"/>
      <c r="N28" s="56" t="s">
        <v>192</v>
      </c>
      <c r="O28" s="56"/>
      <c r="P28" s="56"/>
      <c r="Q28" s="56"/>
      <c r="R28" s="56"/>
      <c r="S28" s="56"/>
    </row>
    <row r="29" spans="1:104" ht="66" x14ac:dyDescent="0.3">
      <c r="B29" s="24" t="s">
        <v>96</v>
      </c>
      <c r="C29" s="24" t="s">
        <v>3</v>
      </c>
      <c r="D29" s="24" t="s">
        <v>13</v>
      </c>
      <c r="E29" s="24" t="s">
        <v>20</v>
      </c>
      <c r="F29" s="24" t="s">
        <v>31</v>
      </c>
      <c r="G29" s="24" t="s">
        <v>41</v>
      </c>
      <c r="H29" s="25" t="s">
        <v>124</v>
      </c>
      <c r="I29" s="25" t="s">
        <v>125</v>
      </c>
      <c r="J29" s="25" t="s">
        <v>126</v>
      </c>
      <c r="K29" s="25" t="s">
        <v>127</v>
      </c>
      <c r="L29" s="25" t="s">
        <v>128</v>
      </c>
      <c r="M29" s="25" t="s">
        <v>129</v>
      </c>
      <c r="N29" s="24" t="s">
        <v>176</v>
      </c>
      <c r="O29" s="24" t="s">
        <v>177</v>
      </c>
      <c r="P29" s="24" t="s">
        <v>178</v>
      </c>
      <c r="Q29" s="24" t="s">
        <v>179</v>
      </c>
      <c r="R29" s="24" t="s">
        <v>180</v>
      </c>
      <c r="S29" s="24" t="s">
        <v>195</v>
      </c>
      <c r="W29" s="31" t="s">
        <v>559</v>
      </c>
    </row>
    <row r="30" spans="1:104" ht="49.5" x14ac:dyDescent="0.3">
      <c r="B30" s="2" t="s">
        <v>2</v>
      </c>
      <c r="C30" s="2" t="s">
        <v>118</v>
      </c>
      <c r="D30" s="8" t="s">
        <v>119</v>
      </c>
      <c r="E30" s="2" t="s">
        <v>120</v>
      </c>
      <c r="F30" s="8" t="s">
        <v>121</v>
      </c>
      <c r="G30" t="s">
        <v>122</v>
      </c>
      <c r="H30" s="20" t="s">
        <v>2</v>
      </c>
      <c r="I30" s="2" t="s">
        <v>125</v>
      </c>
      <c r="J30" s="6" t="s">
        <v>135</v>
      </c>
      <c r="K30" s="19" t="s">
        <v>135</v>
      </c>
      <c r="L30" s="6" t="s">
        <v>2</v>
      </c>
      <c r="M30" s="19" t="s">
        <v>2</v>
      </c>
      <c r="N30" t="s">
        <v>165</v>
      </c>
      <c r="O30" t="s">
        <v>168</v>
      </c>
      <c r="P30" t="s">
        <v>170</v>
      </c>
      <c r="Q30" t="s">
        <v>174</v>
      </c>
      <c r="R30" t="s">
        <v>193</v>
      </c>
      <c r="S30" t="s">
        <v>194</v>
      </c>
      <c r="W30" s="31" t="s">
        <v>559</v>
      </c>
    </row>
    <row r="31" spans="1:104" ht="66" x14ac:dyDescent="0.3">
      <c r="B31" s="2" t="s">
        <v>97</v>
      </c>
      <c r="C31" s="2" t="s">
        <v>4</v>
      </c>
      <c r="D31" s="8" t="s">
        <v>14</v>
      </c>
      <c r="E31" s="2" t="s">
        <v>21</v>
      </c>
      <c r="F31" s="8" t="s">
        <v>32</v>
      </c>
      <c r="G31" s="2" t="s">
        <v>42</v>
      </c>
      <c r="H31" s="19" t="s">
        <v>196</v>
      </c>
      <c r="I31" s="2"/>
      <c r="J31" s="6" t="s">
        <v>136</v>
      </c>
      <c r="K31" s="19" t="s">
        <v>144</v>
      </c>
      <c r="L31" s="6" t="s">
        <v>153</v>
      </c>
      <c r="M31" s="19" t="s">
        <v>157</v>
      </c>
      <c r="N31" t="s">
        <v>166</v>
      </c>
      <c r="O31" t="s">
        <v>169</v>
      </c>
      <c r="P31" t="s">
        <v>171</v>
      </c>
      <c r="Q31" t="s">
        <v>175</v>
      </c>
      <c r="W31" s="31" t="s">
        <v>559</v>
      </c>
    </row>
    <row r="32" spans="1:104" ht="99" x14ac:dyDescent="0.3">
      <c r="C32" s="2" t="s">
        <v>98</v>
      </c>
      <c r="D32" s="2" t="s">
        <v>5</v>
      </c>
      <c r="E32" s="8" t="s">
        <v>15</v>
      </c>
      <c r="F32" s="2" t="s">
        <v>22</v>
      </c>
      <c r="G32" s="8" t="s">
        <v>33</v>
      </c>
      <c r="H32" s="2" t="s">
        <v>43</v>
      </c>
      <c r="J32" s="19" t="s">
        <v>197</v>
      </c>
      <c r="K32" s="6" t="s">
        <v>137</v>
      </c>
      <c r="L32" s="19" t="s">
        <v>145</v>
      </c>
      <c r="M32" s="6" t="s">
        <v>53</v>
      </c>
      <c r="N32" s="19" t="s">
        <v>158</v>
      </c>
      <c r="O32" t="s">
        <v>167</v>
      </c>
      <c r="Q32" t="s">
        <v>172</v>
      </c>
      <c r="W32" s="31" t="s">
        <v>559</v>
      </c>
    </row>
    <row r="33" spans="3:23" ht="82.5" x14ac:dyDescent="0.3">
      <c r="C33" s="2" t="s">
        <v>99</v>
      </c>
      <c r="D33" s="2" t="s">
        <v>6</v>
      </c>
      <c r="E33" s="8" t="s">
        <v>16</v>
      </c>
      <c r="F33" s="2" t="s">
        <v>23</v>
      </c>
      <c r="G33" s="8" t="s">
        <v>34</v>
      </c>
      <c r="H33" s="2" t="s">
        <v>45</v>
      </c>
      <c r="J33" s="21" t="s">
        <v>132</v>
      </c>
      <c r="K33" s="6" t="s">
        <v>138</v>
      </c>
      <c r="L33" s="19" t="s">
        <v>146</v>
      </c>
      <c r="M33" s="6" t="s">
        <v>154</v>
      </c>
      <c r="N33" s="19" t="s">
        <v>159</v>
      </c>
      <c r="Q33" t="s">
        <v>173</v>
      </c>
      <c r="W33" s="31" t="s">
        <v>559</v>
      </c>
    </row>
    <row r="34" spans="3:23" ht="99" x14ac:dyDescent="0.3">
      <c r="C34" s="2" t="s">
        <v>100</v>
      </c>
      <c r="D34" s="2" t="s">
        <v>7</v>
      </c>
      <c r="E34" s="8" t="s">
        <v>17</v>
      </c>
      <c r="F34" s="2" t="s">
        <v>24</v>
      </c>
      <c r="G34" s="8" t="s">
        <v>35</v>
      </c>
      <c r="H34" s="2" t="s">
        <v>47</v>
      </c>
      <c r="J34" s="19" t="s">
        <v>198</v>
      </c>
      <c r="K34" s="6" t="s">
        <v>139</v>
      </c>
      <c r="L34" s="19" t="s">
        <v>147</v>
      </c>
      <c r="M34" s="6" t="s">
        <v>53</v>
      </c>
      <c r="N34" s="19" t="s">
        <v>160</v>
      </c>
      <c r="W34" s="31" t="s">
        <v>559</v>
      </c>
    </row>
    <row r="35" spans="3:23" ht="82.5" x14ac:dyDescent="0.3">
      <c r="C35" s="2" t="s">
        <v>101</v>
      </c>
      <c r="D35" s="2" t="s">
        <v>8</v>
      </c>
      <c r="E35" s="8" t="s">
        <v>18</v>
      </c>
      <c r="F35" s="2" t="s">
        <v>25</v>
      </c>
      <c r="G35" s="8" t="s">
        <v>36</v>
      </c>
      <c r="H35" s="2" t="s">
        <v>49</v>
      </c>
      <c r="K35" s="6" t="s">
        <v>140</v>
      </c>
      <c r="L35" s="19" t="s">
        <v>148</v>
      </c>
      <c r="M35" s="6" t="s">
        <v>155</v>
      </c>
      <c r="N35" s="21" t="s">
        <v>161</v>
      </c>
      <c r="W35" s="31" t="s">
        <v>559</v>
      </c>
    </row>
    <row r="36" spans="3:23" ht="99" x14ac:dyDescent="0.3">
      <c r="C36" s="2" t="s">
        <v>102</v>
      </c>
      <c r="D36" s="2" t="s">
        <v>9</v>
      </c>
      <c r="F36" s="2" t="s">
        <v>26</v>
      </c>
      <c r="G36" s="8" t="s">
        <v>37</v>
      </c>
      <c r="H36" s="2" t="s">
        <v>51</v>
      </c>
      <c r="K36" s="6" t="s">
        <v>141</v>
      </c>
      <c r="L36" s="19" t="s">
        <v>149</v>
      </c>
      <c r="M36" s="6" t="s">
        <v>53</v>
      </c>
      <c r="N36" s="19" t="s">
        <v>162</v>
      </c>
      <c r="W36" s="31" t="s">
        <v>559</v>
      </c>
    </row>
    <row r="37" spans="3:23" ht="82.5" x14ac:dyDescent="0.3">
      <c r="C37" s="2" t="s">
        <v>103</v>
      </c>
      <c r="D37" s="2" t="s">
        <v>10</v>
      </c>
      <c r="F37" s="2" t="s">
        <v>27</v>
      </c>
      <c r="G37" s="8" t="s">
        <v>38</v>
      </c>
      <c r="H37" s="2" t="s">
        <v>53</v>
      </c>
      <c r="K37" t="s">
        <v>142</v>
      </c>
      <c r="L37" s="19" t="s">
        <v>150</v>
      </c>
      <c r="M37" s="6" t="s">
        <v>156</v>
      </c>
      <c r="N37" s="19" t="s">
        <v>163</v>
      </c>
      <c r="W37" s="31" t="s">
        <v>559</v>
      </c>
    </row>
    <row r="38" spans="3:23" ht="82.5" x14ac:dyDescent="0.3">
      <c r="C38" s="2" t="s">
        <v>104</v>
      </c>
      <c r="D38" s="2" t="s">
        <v>11</v>
      </c>
      <c r="F38" s="2" t="s">
        <v>28</v>
      </c>
      <c r="G38" s="8" t="s">
        <v>39</v>
      </c>
      <c r="H38" s="2" t="s">
        <v>54</v>
      </c>
      <c r="K38" s="6" t="s">
        <v>143</v>
      </c>
      <c r="L38" s="19" t="s">
        <v>151</v>
      </c>
      <c r="W38" s="31" t="s">
        <v>559</v>
      </c>
    </row>
    <row r="39" spans="3:23" ht="115.5" x14ac:dyDescent="0.3">
      <c r="C39" s="2" t="s">
        <v>105</v>
      </c>
      <c r="D39" s="2" t="s">
        <v>12</v>
      </c>
      <c r="F39" s="2" t="s">
        <v>29</v>
      </c>
      <c r="G39" s="8" t="s">
        <v>40</v>
      </c>
      <c r="L39" s="19" t="s">
        <v>152</v>
      </c>
      <c r="W39" s="31" t="s">
        <v>559</v>
      </c>
    </row>
    <row r="40" spans="3:23" x14ac:dyDescent="0.3">
      <c r="W40" s="31" t="s">
        <v>559</v>
      </c>
    </row>
    <row r="41" spans="3:23" x14ac:dyDescent="0.3">
      <c r="W41" s="31" t="s">
        <v>559</v>
      </c>
    </row>
    <row r="42" spans="3:23" x14ac:dyDescent="0.3">
      <c r="W42" s="31" t="s">
        <v>559</v>
      </c>
    </row>
    <row r="43" spans="3:23" x14ac:dyDescent="0.3">
      <c r="W43" s="31" t="s">
        <v>559</v>
      </c>
    </row>
    <row r="44" spans="3:23" x14ac:dyDescent="0.3">
      <c r="W44" s="31" t="s">
        <v>559</v>
      </c>
    </row>
    <row r="45" spans="3:23" x14ac:dyDescent="0.3">
      <c r="W45" s="31" t="s">
        <v>559</v>
      </c>
    </row>
    <row r="46" spans="3:23" x14ac:dyDescent="0.3">
      <c r="W46" s="31" t="s">
        <v>559</v>
      </c>
    </row>
    <row r="47" spans="3:23" x14ac:dyDescent="0.3">
      <c r="W47" s="31" t="s">
        <v>559</v>
      </c>
    </row>
    <row r="48" spans="3:23" ht="99" x14ac:dyDescent="0.3">
      <c r="W48" s="32" t="s">
        <v>96</v>
      </c>
    </row>
    <row r="49" spans="23:23" ht="49.5" x14ac:dyDescent="0.3">
      <c r="W49" s="32" t="s">
        <v>3</v>
      </c>
    </row>
    <row r="50" spans="23:23" ht="33" x14ac:dyDescent="0.3">
      <c r="W50" s="32" t="s">
        <v>13</v>
      </c>
    </row>
    <row r="51" spans="23:23" ht="33" x14ac:dyDescent="0.3">
      <c r="W51" s="32" t="s">
        <v>20</v>
      </c>
    </row>
    <row r="52" spans="23:23" ht="33" x14ac:dyDescent="0.3">
      <c r="W52" s="32" t="s">
        <v>31</v>
      </c>
    </row>
    <row r="53" spans="23:23" ht="49.5" x14ac:dyDescent="0.3">
      <c r="W53" s="32" t="s">
        <v>41</v>
      </c>
    </row>
    <row r="54" spans="23:23" x14ac:dyDescent="0.3">
      <c r="W54" s="31" t="s">
        <v>234</v>
      </c>
    </row>
    <row r="55" spans="23:23" x14ac:dyDescent="0.3">
      <c r="W55" s="31" t="s">
        <v>214</v>
      </c>
    </row>
    <row r="56" spans="23:23" x14ac:dyDescent="0.3">
      <c r="W56" s="31" t="s">
        <v>224</v>
      </c>
    </row>
    <row r="57" spans="23:23" ht="49.5" x14ac:dyDescent="0.3">
      <c r="W57" s="34" t="s">
        <v>230</v>
      </c>
    </row>
    <row r="58" spans="23:23" ht="66" x14ac:dyDescent="0.3">
      <c r="W58" s="34" t="s">
        <v>233</v>
      </c>
    </row>
    <row r="59" spans="23:23" x14ac:dyDescent="0.3">
      <c r="W59" s="31" t="s">
        <v>599</v>
      </c>
    </row>
    <row r="60" spans="23:23" x14ac:dyDescent="0.3">
      <c r="W60" s="31" t="s">
        <v>254</v>
      </c>
    </row>
    <row r="61" spans="23:23" x14ac:dyDescent="0.3">
      <c r="W61" s="31" t="s">
        <v>264</v>
      </c>
    </row>
    <row r="62" spans="23:23" x14ac:dyDescent="0.3">
      <c r="W62" s="31" t="s">
        <v>270</v>
      </c>
    </row>
    <row r="63" spans="23:23" x14ac:dyDescent="0.3">
      <c r="W63" s="31" t="s">
        <v>600</v>
      </c>
    </row>
    <row r="64" spans="23:23" x14ac:dyDescent="0.3">
      <c r="W64" s="31" t="s">
        <v>283</v>
      </c>
    </row>
    <row r="65" spans="23:23" x14ac:dyDescent="0.3">
      <c r="W65" s="31" t="s">
        <v>286</v>
      </c>
    </row>
    <row r="66" spans="23:23" x14ac:dyDescent="0.3">
      <c r="W66" s="31" t="s">
        <v>287</v>
      </c>
    </row>
    <row r="67" spans="23:23" x14ac:dyDescent="0.3">
      <c r="W67" s="31" t="s">
        <v>292</v>
      </c>
    </row>
    <row r="68" spans="23:23" ht="82.5" x14ac:dyDescent="0.3">
      <c r="W68" s="32" t="s">
        <v>601</v>
      </c>
    </row>
    <row r="69" spans="23:23" ht="33" x14ac:dyDescent="0.3">
      <c r="W69" s="32" t="s">
        <v>602</v>
      </c>
    </row>
    <row r="70" spans="23:23" ht="82.5" x14ac:dyDescent="0.3">
      <c r="W70" s="32" t="s">
        <v>603</v>
      </c>
    </row>
    <row r="71" spans="23:23" ht="66" x14ac:dyDescent="0.3">
      <c r="W71" s="32" t="s">
        <v>604</v>
      </c>
    </row>
    <row r="72" spans="23:23" x14ac:dyDescent="0.3">
      <c r="W72" s="31" t="s">
        <v>322</v>
      </c>
    </row>
    <row r="73" spans="23:23" x14ac:dyDescent="0.3">
      <c r="W73" s="31" t="s">
        <v>332</v>
      </c>
    </row>
    <row r="74" spans="23:23" x14ac:dyDescent="0.3">
      <c r="W74" s="31" t="s">
        <v>339</v>
      </c>
    </row>
    <row r="75" spans="23:23" x14ac:dyDescent="0.3">
      <c r="W75" s="31" t="s">
        <v>605</v>
      </c>
    </row>
    <row r="76" spans="23:23" x14ac:dyDescent="0.3">
      <c r="W76" s="31" t="s">
        <v>350</v>
      </c>
    </row>
    <row r="77" spans="23:23" x14ac:dyDescent="0.3">
      <c r="W77" s="31" t="s">
        <v>353</v>
      </c>
    </row>
    <row r="78" spans="23:23" ht="49.5" x14ac:dyDescent="0.3">
      <c r="W78" s="34" t="s">
        <v>606</v>
      </c>
    </row>
    <row r="79" spans="23:23" x14ac:dyDescent="0.3">
      <c r="W79" s="31" t="s">
        <v>366</v>
      </c>
    </row>
    <row r="80" spans="23:23" x14ac:dyDescent="0.3">
      <c r="W80" s="31" t="s">
        <v>607</v>
      </c>
    </row>
    <row r="81" spans="23:23" x14ac:dyDescent="0.3">
      <c r="W81" s="31" t="s">
        <v>382</v>
      </c>
    </row>
    <row r="82" spans="23:23" x14ac:dyDescent="0.3">
      <c r="W82" s="31" t="s">
        <v>390</v>
      </c>
    </row>
    <row r="83" spans="23:23" x14ac:dyDescent="0.3">
      <c r="W83" s="31" t="s">
        <v>400</v>
      </c>
    </row>
    <row r="84" spans="23:23" x14ac:dyDescent="0.3">
      <c r="W84" s="31" t="s">
        <v>404</v>
      </c>
    </row>
    <row r="85" spans="23:23" x14ac:dyDescent="0.3">
      <c r="W85" s="31" t="s">
        <v>410</v>
      </c>
    </row>
    <row r="86" spans="23:23" x14ac:dyDescent="0.3">
      <c r="W86" s="31" t="s">
        <v>414</v>
      </c>
    </row>
    <row r="87" spans="23:23" x14ac:dyDescent="0.3">
      <c r="W87" s="38" t="s">
        <v>559</v>
      </c>
    </row>
    <row r="88" spans="23:23" x14ac:dyDescent="0.3">
      <c r="W88" s="38" t="s">
        <v>559</v>
      </c>
    </row>
    <row r="89" spans="23:23" ht="99" x14ac:dyDescent="0.3">
      <c r="W89" s="34" t="s">
        <v>608</v>
      </c>
    </row>
    <row r="90" spans="23:23" x14ac:dyDescent="0.3">
      <c r="W90" s="31" t="s">
        <v>609</v>
      </c>
    </row>
    <row r="91" spans="23:23" x14ac:dyDescent="0.3">
      <c r="W91" s="31" t="s">
        <v>610</v>
      </c>
    </row>
    <row r="92" spans="23:23" x14ac:dyDescent="0.3">
      <c r="W92" s="31" t="s">
        <v>438</v>
      </c>
    </row>
    <row r="93" spans="23:23" x14ac:dyDescent="0.3">
      <c r="W93" s="31" t="s">
        <v>443</v>
      </c>
    </row>
    <row r="94" spans="23:23" x14ac:dyDescent="0.3">
      <c r="W94" s="31" t="s">
        <v>611</v>
      </c>
    </row>
    <row r="95" spans="23:23" x14ac:dyDescent="0.3">
      <c r="W95" s="31" t="s">
        <v>612</v>
      </c>
    </row>
    <row r="96" spans="23:23" x14ac:dyDescent="0.3">
      <c r="W96" s="31" t="s">
        <v>613</v>
      </c>
    </row>
    <row r="97" spans="23:23" x14ac:dyDescent="0.3">
      <c r="W97" s="38" t="s">
        <v>559</v>
      </c>
    </row>
    <row r="98" spans="23:23" x14ac:dyDescent="0.3">
      <c r="W98" s="38" t="s">
        <v>559</v>
      </c>
    </row>
    <row r="99" spans="23:23" x14ac:dyDescent="0.3">
      <c r="W99" s="31" t="s">
        <v>614</v>
      </c>
    </row>
    <row r="100" spans="23:23" x14ac:dyDescent="0.3">
      <c r="W100" s="31" t="s">
        <v>465</v>
      </c>
    </row>
    <row r="101" spans="23:23" x14ac:dyDescent="0.3">
      <c r="W101" s="31" t="s">
        <v>358</v>
      </c>
    </row>
    <row r="102" spans="23:23" x14ac:dyDescent="0.3">
      <c r="W102" s="31" t="s">
        <v>474</v>
      </c>
    </row>
    <row r="103" spans="23:23" x14ac:dyDescent="0.3">
      <c r="W103" s="31" t="s">
        <v>484</v>
      </c>
    </row>
    <row r="104" spans="23:23" x14ac:dyDescent="0.3">
      <c r="W104" s="31" t="s">
        <v>615</v>
      </c>
    </row>
    <row r="105" spans="23:23" x14ac:dyDescent="0.3">
      <c r="W105" s="31" t="s">
        <v>486</v>
      </c>
    </row>
    <row r="106" spans="23:23" x14ac:dyDescent="0.3">
      <c r="W106" s="31" t="s">
        <v>361</v>
      </c>
    </row>
    <row r="107" spans="23:23" x14ac:dyDescent="0.3">
      <c r="W107" s="31" t="s">
        <v>616</v>
      </c>
    </row>
    <row r="108" spans="23:23" ht="49.5" x14ac:dyDescent="0.3">
      <c r="W108" s="34" t="s">
        <v>617</v>
      </c>
    </row>
    <row r="109" spans="23:23" x14ac:dyDescent="0.3">
      <c r="W109" s="31" t="s">
        <v>364</v>
      </c>
    </row>
    <row r="110" spans="23:23" x14ac:dyDescent="0.3">
      <c r="W110" s="31" t="s">
        <v>365</v>
      </c>
    </row>
    <row r="111" spans="23:23" x14ac:dyDescent="0.3">
      <c r="W111" s="31" t="s">
        <v>504</v>
      </c>
    </row>
    <row r="112" spans="23:23" x14ac:dyDescent="0.3">
      <c r="W112" s="31" t="s">
        <v>506</v>
      </c>
    </row>
    <row r="113" spans="23:23" ht="33" x14ac:dyDescent="0.3">
      <c r="W113" s="34" t="s">
        <v>618</v>
      </c>
    </row>
    <row r="114" spans="23:23" x14ac:dyDescent="0.3">
      <c r="W114" s="31" t="s">
        <v>511</v>
      </c>
    </row>
    <row r="115" spans="23:23" ht="66" x14ac:dyDescent="0.3">
      <c r="W115" s="34" t="s">
        <v>619</v>
      </c>
    </row>
    <row r="116" spans="23:23" x14ac:dyDescent="0.3">
      <c r="W116" s="31" t="s">
        <v>516</v>
      </c>
    </row>
    <row r="117" spans="23:23" x14ac:dyDescent="0.3">
      <c r="W117" s="31" t="s">
        <v>524</v>
      </c>
    </row>
    <row r="118" spans="23:23" x14ac:dyDescent="0.3">
      <c r="W118" s="38" t="s">
        <v>559</v>
      </c>
    </row>
    <row r="119" spans="23:23" x14ac:dyDescent="0.3">
      <c r="W119" s="38" t="s">
        <v>559</v>
      </c>
    </row>
    <row r="120" spans="23:23" x14ac:dyDescent="0.3">
      <c r="W120" s="38" t="s">
        <v>559</v>
      </c>
    </row>
    <row r="121" spans="23:23" ht="33" x14ac:dyDescent="0.3">
      <c r="W121" s="32" t="s">
        <v>205</v>
      </c>
    </row>
    <row r="122" spans="23:23" ht="49.5" x14ac:dyDescent="0.3">
      <c r="W122" s="32" t="s">
        <v>125</v>
      </c>
    </row>
    <row r="123" spans="23:23" x14ac:dyDescent="0.3">
      <c r="W123" s="32" t="s">
        <v>126</v>
      </c>
    </row>
    <row r="124" spans="23:23" ht="33" x14ac:dyDescent="0.3">
      <c r="W124" s="32" t="s">
        <v>127</v>
      </c>
    </row>
    <row r="125" spans="23:23" ht="33" x14ac:dyDescent="0.3">
      <c r="W125" s="32" t="s">
        <v>128</v>
      </c>
    </row>
    <row r="126" spans="23:23" ht="66" x14ac:dyDescent="0.3">
      <c r="W126" s="32" t="s">
        <v>129</v>
      </c>
    </row>
    <row r="127" spans="23:23" x14ac:dyDescent="0.3">
      <c r="W127" s="31" t="s">
        <v>620</v>
      </c>
    </row>
    <row r="128" spans="23:23" x14ac:dyDescent="0.3">
      <c r="W128" s="31" t="s">
        <v>621</v>
      </c>
    </row>
    <row r="129" spans="23:23" x14ac:dyDescent="0.3">
      <c r="W129" s="31" t="s">
        <v>542</v>
      </c>
    </row>
    <row r="130" spans="23:23" x14ac:dyDescent="0.3">
      <c r="W130" s="42" t="s">
        <v>622</v>
      </c>
    </row>
  </sheetData>
  <mergeCells count="3">
    <mergeCell ref="B28:G28"/>
    <mergeCell ref="H28:M28"/>
    <mergeCell ref="N28:S2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172D3-31A7-4C0B-979F-F4A9803882B7}">
  <sheetPr codeName="Sayfa3"/>
  <dimension ref="A1:AG130"/>
  <sheetViews>
    <sheetView topLeftCell="J14" zoomScale="95" zoomScaleNormal="95" workbookViewId="0">
      <selection activeCell="M14" sqref="M14:Y115"/>
    </sheetView>
  </sheetViews>
  <sheetFormatPr defaultRowHeight="16.5" x14ac:dyDescent="0.3"/>
  <cols>
    <col min="1" max="1" width="29.625" customWidth="1"/>
    <col min="2" max="2" width="29.375" customWidth="1"/>
    <col min="3" max="3" width="49.625" customWidth="1"/>
    <col min="4" max="4" width="17.75" customWidth="1"/>
    <col min="5" max="5" width="6.5" customWidth="1"/>
    <col min="6" max="6" width="27.75" customWidth="1"/>
    <col min="7" max="7" width="24.625" customWidth="1"/>
    <col min="8" max="8" width="21.75" customWidth="1"/>
    <col min="9" max="9" width="36.25" customWidth="1"/>
    <col min="10" max="10" width="4.625" customWidth="1"/>
    <col min="11" max="11" width="26" customWidth="1"/>
    <col min="12" max="12" width="21.625" customWidth="1"/>
    <col min="13" max="13" width="16" customWidth="1"/>
    <col min="14" max="14" width="48.5" customWidth="1"/>
    <col min="15" max="15" width="21.25" customWidth="1"/>
  </cols>
  <sheetData>
    <row r="1" spans="1:33" ht="20.100000000000001" customHeight="1" x14ac:dyDescent="0.3">
      <c r="A1" s="1" t="s">
        <v>181</v>
      </c>
      <c r="B1" s="4" t="s">
        <v>188</v>
      </c>
      <c r="C1" s="1" t="s">
        <v>189</v>
      </c>
      <c r="D1" s="1" t="s">
        <v>0</v>
      </c>
      <c r="F1" s="1" t="s">
        <v>184</v>
      </c>
      <c r="G1" s="1" t="s">
        <v>185</v>
      </c>
      <c r="H1" s="1" t="s">
        <v>182</v>
      </c>
      <c r="I1" s="10" t="s">
        <v>183</v>
      </c>
      <c r="K1" s="1" t="s">
        <v>186</v>
      </c>
      <c r="L1" s="1" t="s">
        <v>187</v>
      </c>
      <c r="AG1" s="1" t="s">
        <v>1</v>
      </c>
    </row>
    <row r="2" spans="1:33" ht="20.100000000000001" customHeight="1" x14ac:dyDescent="0.3">
      <c r="A2" s="16" t="s">
        <v>106</v>
      </c>
      <c r="B2" s="7" t="s">
        <v>108</v>
      </c>
      <c r="C2" s="8" t="s">
        <v>2</v>
      </c>
      <c r="D2" s="2">
        <v>20</v>
      </c>
      <c r="F2" s="2" t="s">
        <v>106</v>
      </c>
      <c r="G2">
        <v>1</v>
      </c>
      <c r="H2" s="11">
        <v>20</v>
      </c>
      <c r="I2" s="2" t="s">
        <v>96</v>
      </c>
      <c r="K2" t="s">
        <v>106</v>
      </c>
      <c r="L2">
        <v>1</v>
      </c>
      <c r="AG2" s="2" t="s">
        <v>55</v>
      </c>
    </row>
    <row r="3" spans="1:33" ht="20.100000000000001" customHeight="1" x14ac:dyDescent="0.3">
      <c r="A3" s="16" t="s">
        <v>106</v>
      </c>
      <c r="B3" s="7" t="s">
        <v>109</v>
      </c>
      <c r="C3" s="8" t="s">
        <v>97</v>
      </c>
      <c r="D3" s="2">
        <v>20</v>
      </c>
      <c r="F3" s="2" t="s">
        <v>106</v>
      </c>
      <c r="G3">
        <v>1</v>
      </c>
      <c r="H3" s="11" t="s">
        <v>92</v>
      </c>
      <c r="I3" s="2" t="s">
        <v>3</v>
      </c>
      <c r="K3" t="s">
        <v>107</v>
      </c>
      <c r="L3">
        <v>2</v>
      </c>
      <c r="AG3" s="6" t="s">
        <v>62</v>
      </c>
    </row>
    <row r="4" spans="1:33" ht="20.100000000000001" customHeight="1" x14ac:dyDescent="0.3">
      <c r="A4" s="16" t="s">
        <v>106</v>
      </c>
      <c r="B4" s="7" t="s">
        <v>110</v>
      </c>
      <c r="C4" s="8" t="s">
        <v>98</v>
      </c>
      <c r="D4" s="2">
        <v>20</v>
      </c>
      <c r="F4" s="2" t="s">
        <v>106</v>
      </c>
      <c r="G4">
        <v>1</v>
      </c>
      <c r="H4" s="11">
        <v>22</v>
      </c>
      <c r="I4" s="2" t="s">
        <v>13</v>
      </c>
      <c r="K4" t="s">
        <v>123</v>
      </c>
      <c r="L4">
        <v>3</v>
      </c>
      <c r="AG4" s="6" t="s">
        <v>62</v>
      </c>
    </row>
    <row r="5" spans="1:33" ht="20.100000000000001" customHeight="1" x14ac:dyDescent="0.3">
      <c r="A5" s="16" t="s">
        <v>106</v>
      </c>
      <c r="B5" s="7" t="s">
        <v>111</v>
      </c>
      <c r="C5" s="8" t="s">
        <v>99</v>
      </c>
      <c r="D5" s="2">
        <v>20</v>
      </c>
      <c r="F5" s="2" t="s">
        <v>106</v>
      </c>
      <c r="G5">
        <v>1</v>
      </c>
      <c r="H5" s="11" t="s">
        <v>93</v>
      </c>
      <c r="I5" s="2" t="s">
        <v>20</v>
      </c>
      <c r="AG5" s="6" t="s">
        <v>62</v>
      </c>
    </row>
    <row r="6" spans="1:33" ht="20.100000000000001" customHeight="1" x14ac:dyDescent="0.3">
      <c r="A6" s="16" t="s">
        <v>106</v>
      </c>
      <c r="B6" s="7" t="s">
        <v>112</v>
      </c>
      <c r="C6" s="8" t="s">
        <v>100</v>
      </c>
      <c r="D6" s="2">
        <v>20</v>
      </c>
      <c r="F6" s="2" t="s">
        <v>106</v>
      </c>
      <c r="G6">
        <v>1</v>
      </c>
      <c r="H6" s="11" t="s">
        <v>94</v>
      </c>
      <c r="I6" s="2" t="s">
        <v>31</v>
      </c>
      <c r="AG6" s="6" t="s">
        <v>62</v>
      </c>
    </row>
    <row r="7" spans="1:33" ht="20.100000000000001" customHeight="1" x14ac:dyDescent="0.3">
      <c r="A7" s="16" t="s">
        <v>106</v>
      </c>
      <c r="B7" s="7" t="s">
        <v>113</v>
      </c>
      <c r="C7" s="8" t="s">
        <v>101</v>
      </c>
      <c r="D7" s="2">
        <v>20</v>
      </c>
      <c r="F7" s="2" t="s">
        <v>106</v>
      </c>
      <c r="G7">
        <v>1</v>
      </c>
      <c r="H7" s="11" t="s">
        <v>95</v>
      </c>
      <c r="I7" s="2" t="s">
        <v>41</v>
      </c>
      <c r="N7" s="1"/>
      <c r="O7" s="1"/>
      <c r="P7" s="1"/>
      <c r="AG7" s="6" t="s">
        <v>62</v>
      </c>
    </row>
    <row r="8" spans="1:33" ht="20.100000000000001" customHeight="1" x14ac:dyDescent="0.3">
      <c r="A8" s="16" t="s">
        <v>106</v>
      </c>
      <c r="B8" s="7" t="s">
        <v>114</v>
      </c>
      <c r="C8" s="8" t="s">
        <v>102</v>
      </c>
      <c r="D8" s="2">
        <v>20</v>
      </c>
      <c r="L8" s="2"/>
      <c r="M8" s="2"/>
      <c r="N8" s="2"/>
      <c r="O8" s="2"/>
      <c r="P8" s="2"/>
      <c r="AG8" s="6" t="s">
        <v>62</v>
      </c>
    </row>
    <row r="9" spans="1:33" ht="20.100000000000001" customHeight="1" x14ac:dyDescent="0.3">
      <c r="A9" s="16" t="s">
        <v>106</v>
      </c>
      <c r="B9" s="7" t="s">
        <v>115</v>
      </c>
      <c r="C9" s="8" t="s">
        <v>103</v>
      </c>
      <c r="D9" s="2">
        <v>20</v>
      </c>
      <c r="F9" s="2" t="s">
        <v>107</v>
      </c>
      <c r="G9">
        <v>2</v>
      </c>
      <c r="H9">
        <v>90</v>
      </c>
      <c r="I9" s="2" t="s">
        <v>124</v>
      </c>
      <c r="L9" s="2"/>
      <c r="M9" s="2"/>
      <c r="N9" s="2"/>
      <c r="O9" s="2"/>
      <c r="P9" s="2"/>
      <c r="AG9" s="6" t="s">
        <v>62</v>
      </c>
    </row>
    <row r="10" spans="1:33" ht="20.100000000000001" customHeight="1" x14ac:dyDescent="0.3">
      <c r="A10" s="16" t="s">
        <v>106</v>
      </c>
      <c r="B10" s="7" t="s">
        <v>116</v>
      </c>
      <c r="C10" s="8" t="s">
        <v>104</v>
      </c>
      <c r="D10" s="2">
        <v>20</v>
      </c>
      <c r="F10" s="2" t="s">
        <v>107</v>
      </c>
      <c r="G10">
        <v>2</v>
      </c>
      <c r="H10">
        <v>91</v>
      </c>
      <c r="I10" s="2" t="s">
        <v>125</v>
      </c>
      <c r="L10" s="2"/>
      <c r="M10" s="2"/>
      <c r="N10" s="2"/>
      <c r="O10" s="2"/>
      <c r="P10" s="2"/>
      <c r="AG10" s="6" t="s">
        <v>62</v>
      </c>
    </row>
    <row r="11" spans="1:33" ht="20.100000000000001" customHeight="1" x14ac:dyDescent="0.3">
      <c r="A11" s="16" t="s">
        <v>106</v>
      </c>
      <c r="B11" s="7" t="s">
        <v>117</v>
      </c>
      <c r="C11" s="8" t="s">
        <v>105</v>
      </c>
      <c r="D11" s="2">
        <v>20</v>
      </c>
      <c r="F11" s="2" t="s">
        <v>107</v>
      </c>
      <c r="G11">
        <v>2</v>
      </c>
      <c r="H11">
        <v>92</v>
      </c>
      <c r="I11" s="2" t="s">
        <v>126</v>
      </c>
      <c r="L11" s="2"/>
      <c r="M11" s="2"/>
      <c r="N11" s="2"/>
      <c r="O11" s="2"/>
      <c r="P11" s="2"/>
      <c r="AG11" s="6" t="s">
        <v>62</v>
      </c>
    </row>
    <row r="12" spans="1:33" ht="20.100000000000001" customHeight="1" x14ac:dyDescent="0.3">
      <c r="A12" s="2" t="s">
        <v>106</v>
      </c>
      <c r="B12" s="5" t="s">
        <v>108</v>
      </c>
      <c r="C12" s="2" t="s">
        <v>118</v>
      </c>
      <c r="D12" s="2">
        <v>21</v>
      </c>
      <c r="F12" s="2" t="s">
        <v>107</v>
      </c>
      <c r="G12" s="2">
        <v>2</v>
      </c>
      <c r="H12">
        <v>93</v>
      </c>
      <c r="I12" s="2" t="s">
        <v>127</v>
      </c>
      <c r="L12" s="2"/>
      <c r="M12" s="3"/>
      <c r="N12" s="2"/>
      <c r="O12" s="2"/>
      <c r="P12" s="2"/>
      <c r="AG12" s="6" t="s">
        <v>63</v>
      </c>
    </row>
    <row r="13" spans="1:33" ht="20.100000000000001" customHeight="1" x14ac:dyDescent="0.3">
      <c r="A13" s="2" t="s">
        <v>106</v>
      </c>
      <c r="B13" s="5" t="s">
        <v>109</v>
      </c>
      <c r="C13" s="2" t="s">
        <v>4</v>
      </c>
      <c r="D13" s="2">
        <v>21</v>
      </c>
      <c r="F13" s="2" t="s">
        <v>107</v>
      </c>
      <c r="G13">
        <v>2</v>
      </c>
      <c r="H13">
        <v>94</v>
      </c>
      <c r="I13" s="2" t="s">
        <v>128</v>
      </c>
      <c r="O13" s="2"/>
      <c r="P13" s="2"/>
      <c r="AG13" s="2" t="s">
        <v>56</v>
      </c>
    </row>
    <row r="14" spans="1:33" ht="20.100000000000001" customHeight="1" x14ac:dyDescent="0.3">
      <c r="A14" s="2" t="s">
        <v>106</v>
      </c>
      <c r="B14" s="5" t="s">
        <v>110</v>
      </c>
      <c r="C14" s="2" t="s">
        <v>5</v>
      </c>
      <c r="D14" s="2">
        <v>21</v>
      </c>
      <c r="F14" s="2" t="s">
        <v>107</v>
      </c>
      <c r="G14">
        <v>2</v>
      </c>
      <c r="H14">
        <v>95</v>
      </c>
      <c r="I14" s="2" t="s">
        <v>129</v>
      </c>
      <c r="M14">
        <v>1</v>
      </c>
      <c r="N14">
        <v>0</v>
      </c>
      <c r="O14" s="8" t="s">
        <v>2</v>
      </c>
      <c r="P14" s="8" t="s">
        <v>97</v>
      </c>
      <c r="Q14" s="8" t="s">
        <v>98</v>
      </c>
      <c r="R14" s="8" t="s">
        <v>99</v>
      </c>
      <c r="S14" s="8" t="s">
        <v>100</v>
      </c>
      <c r="T14" s="8" t="s">
        <v>101</v>
      </c>
      <c r="U14" s="8" t="s">
        <v>102</v>
      </c>
      <c r="V14" s="8" t="s">
        <v>103</v>
      </c>
      <c r="W14" s="8" t="s">
        <v>104</v>
      </c>
      <c r="X14" s="8" t="s">
        <v>105</v>
      </c>
      <c r="AG14" s="2" t="s">
        <v>57</v>
      </c>
    </row>
    <row r="15" spans="1:33" ht="20.100000000000001" customHeight="1" x14ac:dyDescent="0.3">
      <c r="A15" s="2" t="s">
        <v>106</v>
      </c>
      <c r="B15" s="5" t="s">
        <v>111</v>
      </c>
      <c r="C15" s="2" t="s">
        <v>6</v>
      </c>
      <c r="D15" s="2">
        <v>21</v>
      </c>
      <c r="M15">
        <v>2</v>
      </c>
      <c r="N15">
        <v>0</v>
      </c>
      <c r="O15" s="2" t="s">
        <v>118</v>
      </c>
      <c r="P15" s="2" t="s">
        <v>4</v>
      </c>
      <c r="Q15" s="2" t="s">
        <v>5</v>
      </c>
      <c r="R15" s="2" t="s">
        <v>6</v>
      </c>
      <c r="S15" s="2" t="s">
        <v>7</v>
      </c>
      <c r="T15" s="2" t="s">
        <v>8</v>
      </c>
      <c r="U15" s="2" t="s">
        <v>9</v>
      </c>
      <c r="V15" s="2" t="s">
        <v>10</v>
      </c>
      <c r="W15" s="2" t="s">
        <v>11</v>
      </c>
      <c r="X15" s="2" t="s">
        <v>12</v>
      </c>
      <c r="AG15" s="2" t="s">
        <v>58</v>
      </c>
    </row>
    <row r="16" spans="1:33" ht="20.100000000000001" customHeight="1" x14ac:dyDescent="0.3">
      <c r="A16" s="2" t="s">
        <v>106</v>
      </c>
      <c r="B16" s="5" t="s">
        <v>112</v>
      </c>
      <c r="C16" s="2" t="s">
        <v>7</v>
      </c>
      <c r="D16" s="2">
        <v>21</v>
      </c>
      <c r="F16" s="2" t="s">
        <v>123</v>
      </c>
      <c r="G16">
        <v>3</v>
      </c>
      <c r="H16">
        <v>40</v>
      </c>
      <c r="I16" s="2" t="s">
        <v>176</v>
      </c>
      <c r="M16">
        <v>3</v>
      </c>
      <c r="N16">
        <v>0</v>
      </c>
      <c r="O16" s="8" t="s">
        <v>119</v>
      </c>
      <c r="P16" s="8" t="s">
        <v>14</v>
      </c>
      <c r="Q16" s="8" t="s">
        <v>15</v>
      </c>
      <c r="R16" s="8" t="s">
        <v>16</v>
      </c>
      <c r="S16" s="8" t="s">
        <v>17</v>
      </c>
      <c r="T16" s="8" t="s">
        <v>18</v>
      </c>
      <c r="AG16" s="2" t="s">
        <v>59</v>
      </c>
    </row>
    <row r="17" spans="1:33" ht="20.100000000000001" customHeight="1" x14ac:dyDescent="0.3">
      <c r="A17" s="2" t="s">
        <v>106</v>
      </c>
      <c r="B17" s="5" t="s">
        <v>113</v>
      </c>
      <c r="C17" s="2" t="s">
        <v>8</v>
      </c>
      <c r="D17" s="2">
        <v>21</v>
      </c>
      <c r="F17" s="2" t="s">
        <v>123</v>
      </c>
      <c r="G17">
        <v>3</v>
      </c>
      <c r="H17">
        <v>41</v>
      </c>
      <c r="I17" s="2" t="s">
        <v>177</v>
      </c>
      <c r="M17" s="2">
        <v>4</v>
      </c>
      <c r="N17">
        <v>0</v>
      </c>
      <c r="O17" s="2" t="s">
        <v>120</v>
      </c>
      <c r="P17" s="2" t="s">
        <v>21</v>
      </c>
      <c r="Q17" s="2" t="s">
        <v>22</v>
      </c>
      <c r="R17" s="2" t="s">
        <v>23</v>
      </c>
      <c r="S17" s="2" t="s">
        <v>24</v>
      </c>
      <c r="T17" s="2" t="s">
        <v>25</v>
      </c>
      <c r="U17" s="2" t="s">
        <v>26</v>
      </c>
      <c r="V17" s="2" t="s">
        <v>27</v>
      </c>
      <c r="W17" s="2" t="s">
        <v>28</v>
      </c>
      <c r="X17" s="2" t="s">
        <v>29</v>
      </c>
      <c r="AG17" s="2" t="s">
        <v>60</v>
      </c>
    </row>
    <row r="18" spans="1:33" ht="20.100000000000001" customHeight="1" x14ac:dyDescent="0.3">
      <c r="A18" s="2" t="s">
        <v>106</v>
      </c>
      <c r="B18" s="5" t="s">
        <v>114</v>
      </c>
      <c r="C18" s="2" t="s">
        <v>9</v>
      </c>
      <c r="D18" s="2">
        <v>21</v>
      </c>
      <c r="F18" s="2" t="s">
        <v>123</v>
      </c>
      <c r="G18">
        <v>3</v>
      </c>
      <c r="H18">
        <v>42</v>
      </c>
      <c r="I18" s="2" t="s">
        <v>178</v>
      </c>
      <c r="L18" s="2"/>
      <c r="M18" s="2">
        <v>5</v>
      </c>
      <c r="N18" s="2">
        <v>0</v>
      </c>
      <c r="O18" s="8" t="s">
        <v>121</v>
      </c>
      <c r="P18" s="8" t="s">
        <v>32</v>
      </c>
      <c r="Q18" s="8" t="s">
        <v>33</v>
      </c>
      <c r="R18" s="8" t="s">
        <v>34</v>
      </c>
      <c r="S18" s="8" t="s">
        <v>35</v>
      </c>
      <c r="T18" s="8" t="s">
        <v>36</v>
      </c>
      <c r="U18" s="8" t="s">
        <v>37</v>
      </c>
      <c r="V18" s="8" t="s">
        <v>38</v>
      </c>
      <c r="W18" s="8" t="s">
        <v>39</v>
      </c>
      <c r="X18" s="8" t="s">
        <v>40</v>
      </c>
      <c r="AG18" s="2" t="s">
        <v>64</v>
      </c>
    </row>
    <row r="19" spans="1:33" ht="20.100000000000001" customHeight="1" x14ac:dyDescent="0.3">
      <c r="A19" s="2" t="s">
        <v>106</v>
      </c>
      <c r="B19" s="5" t="s">
        <v>115</v>
      </c>
      <c r="C19" s="2" t="s">
        <v>10</v>
      </c>
      <c r="D19" s="2">
        <v>21</v>
      </c>
      <c r="F19" s="2" t="s">
        <v>123</v>
      </c>
      <c r="G19">
        <v>3</v>
      </c>
      <c r="H19">
        <v>43</v>
      </c>
      <c r="I19" s="2" t="s">
        <v>179</v>
      </c>
      <c r="L19" s="2"/>
      <c r="M19" s="2">
        <v>6</v>
      </c>
      <c r="N19" s="2">
        <v>0</v>
      </c>
      <c r="O19" t="s">
        <v>122</v>
      </c>
      <c r="P19" s="2" t="s">
        <v>42</v>
      </c>
      <c r="Q19" s="2" t="s">
        <v>43</v>
      </c>
      <c r="R19" s="2" t="s">
        <v>45</v>
      </c>
      <c r="S19" s="2" t="s">
        <v>47</v>
      </c>
      <c r="T19" s="2" t="s">
        <v>49</v>
      </c>
      <c r="U19" s="2" t="s">
        <v>51</v>
      </c>
      <c r="V19" s="2" t="s">
        <v>53</v>
      </c>
      <c r="W19" s="2" t="s">
        <v>54</v>
      </c>
      <c r="AG19" s="2" t="s">
        <v>65</v>
      </c>
    </row>
    <row r="20" spans="1:33" ht="20.100000000000001" customHeight="1" x14ac:dyDescent="0.3">
      <c r="A20" s="2" t="s">
        <v>106</v>
      </c>
      <c r="B20" s="5" t="s">
        <v>116</v>
      </c>
      <c r="C20" s="2" t="s">
        <v>11</v>
      </c>
      <c r="D20" s="2">
        <v>21</v>
      </c>
      <c r="I20" s="2"/>
      <c r="L20" s="2"/>
      <c r="M20" s="2">
        <v>7</v>
      </c>
      <c r="N20" s="2">
        <v>0</v>
      </c>
      <c r="O20" s="2"/>
      <c r="P20" s="2"/>
      <c r="AG20" s="2" t="s">
        <v>66</v>
      </c>
    </row>
    <row r="21" spans="1:33" ht="20.100000000000001" customHeight="1" x14ac:dyDescent="0.3">
      <c r="A21" s="2" t="s">
        <v>106</v>
      </c>
      <c r="B21" s="5" t="s">
        <v>117</v>
      </c>
      <c r="C21" s="2" t="s">
        <v>12</v>
      </c>
      <c r="D21" s="2">
        <v>21</v>
      </c>
      <c r="I21" s="2"/>
      <c r="L21" s="2"/>
      <c r="M21" s="2">
        <v>8</v>
      </c>
      <c r="N21" s="2">
        <v>0</v>
      </c>
      <c r="O21" s="2"/>
      <c r="P21" s="2"/>
      <c r="AG21" s="2" t="s">
        <v>61</v>
      </c>
    </row>
    <row r="22" spans="1:33" ht="20.100000000000001" customHeight="1" x14ac:dyDescent="0.3">
      <c r="A22" s="16" t="s">
        <v>106</v>
      </c>
      <c r="B22" s="7" t="s">
        <v>108</v>
      </c>
      <c r="C22" s="8" t="s">
        <v>119</v>
      </c>
      <c r="D22" s="2">
        <v>22</v>
      </c>
      <c r="L22" s="2"/>
      <c r="M22">
        <v>9</v>
      </c>
      <c r="N22" s="2">
        <v>0</v>
      </c>
      <c r="O22" s="2"/>
      <c r="P22" s="2"/>
      <c r="AG22" s="2" t="s">
        <v>63</v>
      </c>
    </row>
    <row r="23" spans="1:33" ht="20.100000000000001" customHeight="1" x14ac:dyDescent="0.3">
      <c r="A23" s="16" t="s">
        <v>106</v>
      </c>
      <c r="B23" s="7" t="s">
        <v>109</v>
      </c>
      <c r="C23" s="8" t="s">
        <v>14</v>
      </c>
      <c r="D23" s="2">
        <v>22</v>
      </c>
      <c r="L23" s="2"/>
      <c r="M23">
        <v>10</v>
      </c>
      <c r="N23" s="26">
        <v>0</v>
      </c>
      <c r="O23" s="2"/>
      <c r="P23" s="2"/>
      <c r="AG23" s="2" t="s">
        <v>67</v>
      </c>
    </row>
    <row r="24" spans="1:33" ht="20.100000000000001" customHeight="1" x14ac:dyDescent="0.3">
      <c r="A24" s="16" t="s">
        <v>106</v>
      </c>
      <c r="B24" s="7" t="s">
        <v>110</v>
      </c>
      <c r="C24" s="8" t="s">
        <v>15</v>
      </c>
      <c r="D24" s="2">
        <v>22</v>
      </c>
      <c r="M24">
        <v>11</v>
      </c>
      <c r="N24" s="2">
        <v>0</v>
      </c>
      <c r="AG24" s="2" t="s">
        <v>68</v>
      </c>
    </row>
    <row r="25" spans="1:33" ht="20.100000000000001" customHeight="1" x14ac:dyDescent="0.3">
      <c r="A25" s="16" t="s">
        <v>106</v>
      </c>
      <c r="B25" s="7" t="s">
        <v>111</v>
      </c>
      <c r="C25" s="8" t="s">
        <v>16</v>
      </c>
      <c r="D25" s="2">
        <v>22</v>
      </c>
      <c r="M25" s="2">
        <v>12</v>
      </c>
      <c r="N25" s="2">
        <v>0</v>
      </c>
      <c r="AG25" s="2" t="s">
        <v>69</v>
      </c>
    </row>
    <row r="26" spans="1:33" ht="20.100000000000001" customHeight="1" x14ac:dyDescent="0.3">
      <c r="A26" s="16" t="s">
        <v>106</v>
      </c>
      <c r="B26" s="7" t="s">
        <v>112</v>
      </c>
      <c r="C26" s="8" t="s">
        <v>17</v>
      </c>
      <c r="D26" s="2">
        <v>22</v>
      </c>
      <c r="M26" s="2">
        <v>13</v>
      </c>
      <c r="N26" s="2">
        <v>0</v>
      </c>
      <c r="AG26" s="2" t="s">
        <v>70</v>
      </c>
    </row>
    <row r="27" spans="1:33" ht="20.100000000000001" customHeight="1" x14ac:dyDescent="0.3">
      <c r="A27" s="16" t="s">
        <v>106</v>
      </c>
      <c r="B27" s="7" t="s">
        <v>113</v>
      </c>
      <c r="C27" s="8" t="s">
        <v>18</v>
      </c>
      <c r="D27" s="2">
        <v>22</v>
      </c>
      <c r="M27" s="2">
        <v>14</v>
      </c>
      <c r="N27" s="2">
        <v>0</v>
      </c>
      <c r="AG27" s="2" t="s">
        <v>71</v>
      </c>
    </row>
    <row r="28" spans="1:33" ht="20.100000000000001" customHeight="1" x14ac:dyDescent="0.3">
      <c r="A28" s="2" t="s">
        <v>106</v>
      </c>
      <c r="B28" s="5" t="s">
        <v>108</v>
      </c>
      <c r="C28" s="2" t="s">
        <v>120</v>
      </c>
      <c r="D28" s="2">
        <v>23</v>
      </c>
      <c r="M28" s="2">
        <v>15</v>
      </c>
      <c r="N28" s="2">
        <v>0</v>
      </c>
      <c r="AG28" s="2" t="s">
        <v>19</v>
      </c>
    </row>
    <row r="29" spans="1:33" ht="20.100000000000001" customHeight="1" x14ac:dyDescent="0.3">
      <c r="A29" s="2" t="s">
        <v>106</v>
      </c>
      <c r="B29" s="5" t="s">
        <v>109</v>
      </c>
      <c r="C29" s="2" t="s">
        <v>21</v>
      </c>
      <c r="D29" s="2">
        <v>23</v>
      </c>
      <c r="M29" s="2">
        <v>16</v>
      </c>
      <c r="N29" s="2">
        <v>0</v>
      </c>
      <c r="AG29" s="2" t="s">
        <v>72</v>
      </c>
    </row>
    <row r="30" spans="1:33" ht="20.100000000000001" customHeight="1" x14ac:dyDescent="0.3">
      <c r="A30" s="2" t="s">
        <v>106</v>
      </c>
      <c r="B30" s="5" t="s">
        <v>110</v>
      </c>
      <c r="C30" s="2" t="s">
        <v>22</v>
      </c>
      <c r="D30" s="2">
        <v>23</v>
      </c>
      <c r="M30">
        <v>17</v>
      </c>
      <c r="N30" s="2">
        <v>0</v>
      </c>
      <c r="AG30" s="2" t="s">
        <v>73</v>
      </c>
    </row>
    <row r="31" spans="1:33" ht="20.100000000000001" customHeight="1" x14ac:dyDescent="0.3">
      <c r="A31" s="2" t="s">
        <v>106</v>
      </c>
      <c r="B31" s="5" t="s">
        <v>111</v>
      </c>
      <c r="C31" s="2" t="s">
        <v>23</v>
      </c>
      <c r="D31" s="2">
        <v>23</v>
      </c>
      <c r="M31">
        <v>18</v>
      </c>
      <c r="N31" s="2">
        <v>0</v>
      </c>
      <c r="AG31" s="2" t="s">
        <v>74</v>
      </c>
    </row>
    <row r="32" spans="1:33" ht="20.100000000000001" customHeight="1" x14ac:dyDescent="0.3">
      <c r="A32" s="2" t="s">
        <v>106</v>
      </c>
      <c r="B32" s="5" t="s">
        <v>112</v>
      </c>
      <c r="C32" s="2" t="s">
        <v>24</v>
      </c>
      <c r="D32" s="2">
        <v>23</v>
      </c>
      <c r="M32">
        <v>19</v>
      </c>
      <c r="N32" s="2">
        <v>0</v>
      </c>
      <c r="AG32" s="2" t="s">
        <v>75</v>
      </c>
    </row>
    <row r="33" spans="1:33" ht="20.100000000000001" customHeight="1" x14ac:dyDescent="0.3">
      <c r="A33" s="2" t="s">
        <v>106</v>
      </c>
      <c r="B33" s="5" t="s">
        <v>113</v>
      </c>
      <c r="C33" s="2" t="s">
        <v>25</v>
      </c>
      <c r="D33" s="2">
        <v>23</v>
      </c>
      <c r="M33">
        <v>20</v>
      </c>
      <c r="N33" s="2" t="s">
        <v>96</v>
      </c>
      <c r="AG33" s="2" t="s">
        <v>76</v>
      </c>
    </row>
    <row r="34" spans="1:33" ht="20.100000000000001" customHeight="1" x14ac:dyDescent="0.3">
      <c r="A34" s="2" t="s">
        <v>106</v>
      </c>
      <c r="B34" s="5" t="s">
        <v>114</v>
      </c>
      <c r="C34" s="2" t="s">
        <v>26</v>
      </c>
      <c r="D34" s="2">
        <v>23</v>
      </c>
      <c r="M34">
        <v>21</v>
      </c>
      <c r="N34" s="2" t="s">
        <v>3</v>
      </c>
      <c r="AG34" s="2" t="s">
        <v>77</v>
      </c>
    </row>
    <row r="35" spans="1:33" ht="20.100000000000001" customHeight="1" x14ac:dyDescent="0.3">
      <c r="A35" s="2" t="s">
        <v>106</v>
      </c>
      <c r="B35" s="5" t="s">
        <v>115</v>
      </c>
      <c r="C35" s="2" t="s">
        <v>27</v>
      </c>
      <c r="D35" s="2">
        <v>23</v>
      </c>
      <c r="M35">
        <v>22</v>
      </c>
      <c r="N35" s="2" t="s">
        <v>13</v>
      </c>
      <c r="AG35" s="2" t="s">
        <v>78</v>
      </c>
    </row>
    <row r="36" spans="1:33" ht="20.100000000000001" customHeight="1" x14ac:dyDescent="0.3">
      <c r="A36" s="2" t="s">
        <v>106</v>
      </c>
      <c r="B36" s="5" t="s">
        <v>116</v>
      </c>
      <c r="C36" s="2" t="s">
        <v>28</v>
      </c>
      <c r="D36" s="2">
        <v>23</v>
      </c>
      <c r="M36">
        <v>23</v>
      </c>
      <c r="N36" s="2" t="s">
        <v>20</v>
      </c>
      <c r="AG36" s="2" t="s">
        <v>79</v>
      </c>
    </row>
    <row r="37" spans="1:33" ht="20.100000000000001" customHeight="1" x14ac:dyDescent="0.3">
      <c r="A37" s="2" t="s">
        <v>106</v>
      </c>
      <c r="B37" s="5" t="s">
        <v>117</v>
      </c>
      <c r="C37" s="2" t="s">
        <v>29</v>
      </c>
      <c r="D37" s="2">
        <v>23</v>
      </c>
      <c r="M37">
        <v>24</v>
      </c>
      <c r="N37" s="2" t="s">
        <v>31</v>
      </c>
      <c r="AG37" s="2" t="s">
        <v>80</v>
      </c>
    </row>
    <row r="38" spans="1:33" ht="20.100000000000001" customHeight="1" x14ac:dyDescent="0.3">
      <c r="A38" s="16" t="s">
        <v>106</v>
      </c>
      <c r="B38" s="7" t="s">
        <v>108</v>
      </c>
      <c r="C38" s="8" t="s">
        <v>121</v>
      </c>
      <c r="D38" s="2">
        <v>24</v>
      </c>
      <c r="M38">
        <v>25</v>
      </c>
      <c r="N38" s="2" t="s">
        <v>41</v>
      </c>
      <c r="AG38" s="2" t="s">
        <v>30</v>
      </c>
    </row>
    <row r="39" spans="1:33" ht="20.100000000000001" customHeight="1" x14ac:dyDescent="0.3">
      <c r="A39" s="16" t="s">
        <v>106</v>
      </c>
      <c r="B39" s="7" t="s">
        <v>109</v>
      </c>
      <c r="C39" s="8" t="s">
        <v>32</v>
      </c>
      <c r="D39" s="2">
        <v>24</v>
      </c>
      <c r="M39">
        <v>26</v>
      </c>
      <c r="N39">
        <v>0</v>
      </c>
      <c r="AG39" s="2" t="s">
        <v>81</v>
      </c>
    </row>
    <row r="40" spans="1:33" ht="20.100000000000001" customHeight="1" x14ac:dyDescent="0.3">
      <c r="A40" s="16" t="s">
        <v>106</v>
      </c>
      <c r="B40" s="7" t="s">
        <v>110</v>
      </c>
      <c r="C40" s="8" t="s">
        <v>33</v>
      </c>
      <c r="D40" s="2">
        <v>24</v>
      </c>
      <c r="M40">
        <v>27</v>
      </c>
      <c r="N40">
        <v>0</v>
      </c>
      <c r="AG40" s="2" t="s">
        <v>82</v>
      </c>
    </row>
    <row r="41" spans="1:33" ht="20.100000000000001" customHeight="1" x14ac:dyDescent="0.3">
      <c r="A41" s="16" t="s">
        <v>106</v>
      </c>
      <c r="B41" s="7" t="s">
        <v>111</v>
      </c>
      <c r="C41" s="8" t="s">
        <v>34</v>
      </c>
      <c r="D41" s="2">
        <v>24</v>
      </c>
      <c r="M41">
        <v>28</v>
      </c>
      <c r="N41">
        <v>0</v>
      </c>
      <c r="AG41" s="2" t="s">
        <v>83</v>
      </c>
    </row>
    <row r="42" spans="1:33" ht="20.100000000000001" customHeight="1" x14ac:dyDescent="0.3">
      <c r="A42" s="16" t="s">
        <v>106</v>
      </c>
      <c r="B42" s="7" t="s">
        <v>112</v>
      </c>
      <c r="C42" s="8" t="s">
        <v>35</v>
      </c>
      <c r="D42" s="2">
        <v>24</v>
      </c>
      <c r="M42">
        <v>29</v>
      </c>
      <c r="N42">
        <v>0</v>
      </c>
      <c r="AG42" s="2" t="s">
        <v>84</v>
      </c>
    </row>
    <row r="43" spans="1:33" ht="20.100000000000001" customHeight="1" x14ac:dyDescent="0.3">
      <c r="A43" s="16" t="s">
        <v>106</v>
      </c>
      <c r="B43" s="7" t="s">
        <v>113</v>
      </c>
      <c r="C43" s="8" t="s">
        <v>36</v>
      </c>
      <c r="D43" s="2">
        <v>24</v>
      </c>
      <c r="M43">
        <v>30</v>
      </c>
      <c r="N43">
        <v>0</v>
      </c>
      <c r="AG43" s="2" t="s">
        <v>85</v>
      </c>
    </row>
    <row r="44" spans="1:33" ht="20.100000000000001" customHeight="1" x14ac:dyDescent="0.3">
      <c r="A44" s="16" t="s">
        <v>106</v>
      </c>
      <c r="B44" s="7" t="s">
        <v>114</v>
      </c>
      <c r="C44" s="8" t="s">
        <v>37</v>
      </c>
      <c r="D44" s="2">
        <v>24</v>
      </c>
      <c r="M44">
        <v>31</v>
      </c>
      <c r="N44">
        <v>0</v>
      </c>
      <c r="AG44" s="2" t="s">
        <v>86</v>
      </c>
    </row>
    <row r="45" spans="1:33" ht="20.100000000000001" customHeight="1" x14ac:dyDescent="0.3">
      <c r="A45" s="16" t="s">
        <v>106</v>
      </c>
      <c r="B45" s="7" t="s">
        <v>115</v>
      </c>
      <c r="C45" s="8" t="s">
        <v>38</v>
      </c>
      <c r="D45" s="2">
        <v>24</v>
      </c>
      <c r="M45">
        <v>32</v>
      </c>
      <c r="N45">
        <v>0</v>
      </c>
      <c r="AG45" s="2" t="s">
        <v>87</v>
      </c>
    </row>
    <row r="46" spans="1:33" ht="20.100000000000001" customHeight="1" x14ac:dyDescent="0.3">
      <c r="A46" s="16" t="s">
        <v>106</v>
      </c>
      <c r="B46" s="7" t="s">
        <v>116</v>
      </c>
      <c r="C46" s="8" t="s">
        <v>39</v>
      </c>
      <c r="D46" s="2">
        <v>24</v>
      </c>
      <c r="M46">
        <v>33</v>
      </c>
      <c r="N46">
        <v>0</v>
      </c>
      <c r="AG46" s="2" t="s">
        <v>88</v>
      </c>
    </row>
    <row r="47" spans="1:33" ht="20.100000000000001" customHeight="1" x14ac:dyDescent="0.3">
      <c r="A47" s="16" t="s">
        <v>106</v>
      </c>
      <c r="B47" s="7" t="s">
        <v>117</v>
      </c>
      <c r="C47" s="8" t="s">
        <v>40</v>
      </c>
      <c r="D47" s="2">
        <v>24</v>
      </c>
      <c r="M47">
        <v>34</v>
      </c>
      <c r="N47">
        <v>0</v>
      </c>
      <c r="AG47" s="2" t="s">
        <v>89</v>
      </c>
    </row>
    <row r="48" spans="1:33" ht="20.100000000000001" customHeight="1" x14ac:dyDescent="0.3">
      <c r="A48" s="2" t="s">
        <v>106</v>
      </c>
      <c r="B48" s="5" t="s">
        <v>108</v>
      </c>
      <c r="C48" t="s">
        <v>122</v>
      </c>
      <c r="D48" s="2">
        <v>25</v>
      </c>
      <c r="M48">
        <v>35</v>
      </c>
      <c r="N48">
        <v>0</v>
      </c>
      <c r="AG48" t="s">
        <v>2</v>
      </c>
    </row>
    <row r="49" spans="1:33" ht="20.100000000000001" customHeight="1" x14ac:dyDescent="0.3">
      <c r="A49" s="2" t="s">
        <v>106</v>
      </c>
      <c r="B49" s="5" t="s">
        <v>109</v>
      </c>
      <c r="C49" s="2" t="s">
        <v>42</v>
      </c>
      <c r="D49" s="2">
        <v>25</v>
      </c>
      <c r="M49">
        <v>36</v>
      </c>
      <c r="N49">
        <v>0</v>
      </c>
      <c r="AG49" s="2" t="s">
        <v>90</v>
      </c>
    </row>
    <row r="50" spans="1:33" ht="20.100000000000001" customHeight="1" x14ac:dyDescent="0.3">
      <c r="A50" s="2" t="s">
        <v>106</v>
      </c>
      <c r="B50" s="5" t="s">
        <v>110</v>
      </c>
      <c r="C50" s="2" t="s">
        <v>43</v>
      </c>
      <c r="D50" s="2">
        <v>25</v>
      </c>
      <c r="M50">
        <v>37</v>
      </c>
      <c r="N50">
        <v>0</v>
      </c>
      <c r="AG50" s="6" t="s">
        <v>90</v>
      </c>
    </row>
    <row r="51" spans="1:33" ht="20.100000000000001" customHeight="1" x14ac:dyDescent="0.3">
      <c r="A51" s="2" t="s">
        <v>106</v>
      </c>
      <c r="B51" s="5" t="s">
        <v>111</v>
      </c>
      <c r="C51" s="2" t="s">
        <v>45</v>
      </c>
      <c r="D51" s="2">
        <v>25</v>
      </c>
      <c r="M51">
        <v>38</v>
      </c>
      <c r="N51">
        <v>0</v>
      </c>
      <c r="AG51" s="2" t="s">
        <v>91</v>
      </c>
    </row>
    <row r="52" spans="1:33" ht="20.100000000000001" customHeight="1" x14ac:dyDescent="0.3">
      <c r="A52" s="2" t="s">
        <v>106</v>
      </c>
      <c r="B52" s="5" t="s">
        <v>112</v>
      </c>
      <c r="C52" s="2" t="s">
        <v>47</v>
      </c>
      <c r="D52" s="2">
        <v>25</v>
      </c>
      <c r="M52">
        <v>39</v>
      </c>
      <c r="N52">
        <v>0</v>
      </c>
      <c r="AG52" s="2" t="s">
        <v>44</v>
      </c>
    </row>
    <row r="53" spans="1:33" ht="20.100000000000001" customHeight="1" x14ac:dyDescent="0.3">
      <c r="A53" s="2" t="s">
        <v>106</v>
      </c>
      <c r="B53" s="5" t="s">
        <v>113</v>
      </c>
      <c r="C53" s="2" t="s">
        <v>49</v>
      </c>
      <c r="D53" s="2">
        <v>25</v>
      </c>
      <c r="M53">
        <v>40</v>
      </c>
      <c r="N53" s="2" t="s">
        <v>165</v>
      </c>
      <c r="O53" s="6" t="s">
        <v>199</v>
      </c>
      <c r="P53" t="s">
        <v>200</v>
      </c>
      <c r="Q53" t="s">
        <v>202</v>
      </c>
      <c r="R53" t="s">
        <v>202</v>
      </c>
      <c r="AG53" s="2" t="s">
        <v>46</v>
      </c>
    </row>
    <row r="54" spans="1:33" ht="20.100000000000001" customHeight="1" x14ac:dyDescent="0.3">
      <c r="A54" s="2" t="s">
        <v>106</v>
      </c>
      <c r="B54" s="5" t="s">
        <v>114</v>
      </c>
      <c r="C54" s="2" t="s">
        <v>51</v>
      </c>
      <c r="D54" s="2">
        <v>25</v>
      </c>
      <c r="M54">
        <v>41</v>
      </c>
      <c r="N54" s="2" t="s">
        <v>166</v>
      </c>
      <c r="O54" t="s">
        <v>206</v>
      </c>
      <c r="P54" t="s">
        <v>207</v>
      </c>
      <c r="Q54" t="s">
        <v>204</v>
      </c>
      <c r="R54" t="s">
        <v>203</v>
      </c>
      <c r="AG54" s="2" t="s">
        <v>48</v>
      </c>
    </row>
    <row r="55" spans="1:33" ht="20.100000000000001" customHeight="1" x14ac:dyDescent="0.3">
      <c r="A55" s="2" t="s">
        <v>106</v>
      </c>
      <c r="B55" s="5" t="s">
        <v>115</v>
      </c>
      <c r="C55" s="2" t="s">
        <v>53</v>
      </c>
      <c r="D55" s="2">
        <v>25</v>
      </c>
      <c r="M55">
        <v>42</v>
      </c>
      <c r="N55" s="2" t="s">
        <v>167</v>
      </c>
      <c r="O55" t="s">
        <v>208</v>
      </c>
      <c r="P55" t="s">
        <v>209</v>
      </c>
      <c r="Q55" t="s">
        <v>202</v>
      </c>
      <c r="R55" t="s">
        <v>201</v>
      </c>
      <c r="AG55" s="2" t="s">
        <v>50</v>
      </c>
    </row>
    <row r="56" spans="1:33" ht="20.100000000000001" customHeight="1" x14ac:dyDescent="0.3">
      <c r="A56" s="2" t="s">
        <v>106</v>
      </c>
      <c r="B56" s="5" t="s">
        <v>116</v>
      </c>
      <c r="C56" s="2" t="s">
        <v>54</v>
      </c>
      <c r="D56" s="2">
        <v>25</v>
      </c>
      <c r="M56">
        <v>43</v>
      </c>
      <c r="N56" s="2" t="s">
        <v>168</v>
      </c>
      <c r="O56" t="s">
        <v>204</v>
      </c>
      <c r="P56" t="s">
        <v>201</v>
      </c>
      <c r="Q56" t="s">
        <v>202</v>
      </c>
      <c r="R56" t="s">
        <v>210</v>
      </c>
      <c r="AG56" s="2" t="s">
        <v>52</v>
      </c>
    </row>
    <row r="57" spans="1:33" ht="20.100000000000001" customHeight="1" x14ac:dyDescent="0.3">
      <c r="A57" s="9"/>
      <c r="B57" s="9"/>
      <c r="C57" s="9"/>
      <c r="D57" s="9"/>
      <c r="J57" s="9"/>
      <c r="K57" s="9"/>
      <c r="L57" s="9"/>
      <c r="M57">
        <v>44</v>
      </c>
      <c r="N57">
        <v>0</v>
      </c>
    </row>
    <row r="58" spans="1:33" ht="20.100000000000001" customHeight="1" x14ac:dyDescent="0.3">
      <c r="A58" s="13" t="s">
        <v>107</v>
      </c>
      <c r="B58" s="17" t="s">
        <v>108</v>
      </c>
      <c r="C58" s="20" t="s">
        <v>2</v>
      </c>
      <c r="D58" s="20">
        <v>90</v>
      </c>
      <c r="M58">
        <v>45</v>
      </c>
      <c r="N58">
        <v>0</v>
      </c>
    </row>
    <row r="59" spans="1:33" ht="20.100000000000001" customHeight="1" x14ac:dyDescent="0.3">
      <c r="A59" s="13" t="s">
        <v>107</v>
      </c>
      <c r="B59" s="17" t="s">
        <v>109</v>
      </c>
      <c r="C59" s="19" t="s">
        <v>130</v>
      </c>
      <c r="D59" s="20">
        <v>90</v>
      </c>
      <c r="M59">
        <v>46</v>
      </c>
      <c r="N59">
        <v>0</v>
      </c>
    </row>
    <row r="60" spans="1:33" ht="20.100000000000001" customHeight="1" x14ac:dyDescent="0.3">
      <c r="A60" s="13" t="s">
        <v>107</v>
      </c>
      <c r="B60" s="17" t="s">
        <v>110</v>
      </c>
      <c r="C60" s="19" t="s">
        <v>131</v>
      </c>
      <c r="D60" s="20">
        <v>90</v>
      </c>
      <c r="M60">
        <v>47</v>
      </c>
      <c r="N60">
        <v>0</v>
      </c>
    </row>
    <row r="61" spans="1:33" ht="20.100000000000001" customHeight="1" x14ac:dyDescent="0.3">
      <c r="A61" s="13" t="s">
        <v>107</v>
      </c>
      <c r="B61" s="17" t="s">
        <v>111</v>
      </c>
      <c r="C61" s="21" t="s">
        <v>132</v>
      </c>
      <c r="D61" s="20">
        <v>90</v>
      </c>
      <c r="M61">
        <v>48</v>
      </c>
      <c r="N61">
        <v>0</v>
      </c>
    </row>
    <row r="62" spans="1:33" ht="20.100000000000001" customHeight="1" x14ac:dyDescent="0.3">
      <c r="A62" s="13" t="s">
        <v>107</v>
      </c>
      <c r="B62" s="17" t="s">
        <v>112</v>
      </c>
      <c r="C62" s="19" t="s">
        <v>133</v>
      </c>
      <c r="D62" s="20">
        <v>90</v>
      </c>
      <c r="M62">
        <v>49</v>
      </c>
      <c r="N62">
        <v>0</v>
      </c>
    </row>
    <row r="63" spans="1:33" ht="20.100000000000001" customHeight="1" x14ac:dyDescent="0.3">
      <c r="A63" s="13" t="s">
        <v>107</v>
      </c>
      <c r="B63" s="14" t="s">
        <v>108</v>
      </c>
      <c r="C63" s="15" t="s">
        <v>134</v>
      </c>
      <c r="D63" s="13">
        <v>91</v>
      </c>
      <c r="E63" s="2"/>
      <c r="F63" s="2"/>
      <c r="M63">
        <v>50</v>
      </c>
      <c r="N63">
        <v>0</v>
      </c>
    </row>
    <row r="64" spans="1:33" ht="20.100000000000001" customHeight="1" x14ac:dyDescent="0.3">
      <c r="A64" s="2" t="s">
        <v>107</v>
      </c>
      <c r="B64" s="12" t="s">
        <v>108</v>
      </c>
      <c r="C64" s="6" t="s">
        <v>135</v>
      </c>
      <c r="D64" s="2">
        <v>92</v>
      </c>
      <c r="F64" s="2"/>
      <c r="M64">
        <v>51</v>
      </c>
      <c r="N64">
        <v>0</v>
      </c>
    </row>
    <row r="65" spans="1:14" ht="20.100000000000001" customHeight="1" x14ac:dyDescent="0.3">
      <c r="A65" s="2" t="s">
        <v>107</v>
      </c>
      <c r="B65" s="12" t="s">
        <v>109</v>
      </c>
      <c r="C65" s="6" t="s">
        <v>136</v>
      </c>
      <c r="D65" s="2">
        <v>92</v>
      </c>
      <c r="M65">
        <v>52</v>
      </c>
      <c r="N65">
        <v>0</v>
      </c>
    </row>
    <row r="66" spans="1:14" ht="20.100000000000001" customHeight="1" x14ac:dyDescent="0.3">
      <c r="A66" s="2" t="s">
        <v>107</v>
      </c>
      <c r="B66" s="12" t="s">
        <v>110</v>
      </c>
      <c r="C66" s="6" t="s">
        <v>137</v>
      </c>
      <c r="D66" s="2">
        <v>92</v>
      </c>
      <c r="M66">
        <v>53</v>
      </c>
      <c r="N66">
        <v>0</v>
      </c>
    </row>
    <row r="67" spans="1:14" ht="20.100000000000001" customHeight="1" x14ac:dyDescent="0.3">
      <c r="A67" s="2" t="s">
        <v>107</v>
      </c>
      <c r="B67" s="12" t="s">
        <v>111</v>
      </c>
      <c r="C67" s="6" t="s">
        <v>138</v>
      </c>
      <c r="D67" s="2">
        <v>92</v>
      </c>
      <c r="M67">
        <v>54</v>
      </c>
      <c r="N67">
        <v>0</v>
      </c>
    </row>
    <row r="68" spans="1:14" x14ac:dyDescent="0.3">
      <c r="A68" s="2" t="s">
        <v>107</v>
      </c>
      <c r="B68" s="12" t="s">
        <v>112</v>
      </c>
      <c r="C68" s="6" t="s">
        <v>139</v>
      </c>
      <c r="D68" s="2">
        <v>92</v>
      </c>
      <c r="M68">
        <v>55</v>
      </c>
      <c r="N68">
        <v>0</v>
      </c>
    </row>
    <row r="69" spans="1:14" x14ac:dyDescent="0.3">
      <c r="A69" s="2" t="s">
        <v>107</v>
      </c>
      <c r="B69" s="12" t="s">
        <v>113</v>
      </c>
      <c r="C69" s="6" t="s">
        <v>140</v>
      </c>
      <c r="D69" s="2">
        <v>92</v>
      </c>
      <c r="M69">
        <v>56</v>
      </c>
      <c r="N69">
        <v>0</v>
      </c>
    </row>
    <row r="70" spans="1:14" ht="33" x14ac:dyDescent="0.3">
      <c r="A70" s="2" t="s">
        <v>107</v>
      </c>
      <c r="B70" s="12" t="s">
        <v>114</v>
      </c>
      <c r="C70" s="6" t="s">
        <v>141</v>
      </c>
      <c r="D70" s="2">
        <v>92</v>
      </c>
      <c r="M70">
        <v>57</v>
      </c>
      <c r="N70">
        <v>0</v>
      </c>
    </row>
    <row r="71" spans="1:14" x14ac:dyDescent="0.3">
      <c r="A71" s="2" t="s">
        <v>107</v>
      </c>
      <c r="B71" s="12" t="s">
        <v>115</v>
      </c>
      <c r="C71" t="s">
        <v>142</v>
      </c>
      <c r="D71" s="2">
        <v>92</v>
      </c>
      <c r="M71">
        <v>58</v>
      </c>
      <c r="N71">
        <v>0</v>
      </c>
    </row>
    <row r="72" spans="1:14" x14ac:dyDescent="0.3">
      <c r="A72" s="2" t="s">
        <v>107</v>
      </c>
      <c r="B72" s="12" t="s">
        <v>116</v>
      </c>
      <c r="C72" s="6" t="s">
        <v>143</v>
      </c>
      <c r="D72" s="2">
        <v>92</v>
      </c>
      <c r="M72">
        <v>59</v>
      </c>
      <c r="N72">
        <v>0</v>
      </c>
    </row>
    <row r="73" spans="1:14" x14ac:dyDescent="0.3">
      <c r="A73" s="13" t="s">
        <v>107</v>
      </c>
      <c r="B73" s="17" t="s">
        <v>108</v>
      </c>
      <c r="C73" s="19" t="s">
        <v>135</v>
      </c>
      <c r="D73" s="20">
        <v>93</v>
      </c>
      <c r="M73">
        <v>60</v>
      </c>
      <c r="N73">
        <v>0</v>
      </c>
    </row>
    <row r="74" spans="1:14" x14ac:dyDescent="0.3">
      <c r="A74" s="13" t="s">
        <v>107</v>
      </c>
      <c r="B74" s="17" t="s">
        <v>109</v>
      </c>
      <c r="C74" s="19" t="s">
        <v>144</v>
      </c>
      <c r="D74" s="20">
        <v>93</v>
      </c>
      <c r="M74">
        <v>61</v>
      </c>
      <c r="N74">
        <v>0</v>
      </c>
    </row>
    <row r="75" spans="1:14" x14ac:dyDescent="0.3">
      <c r="A75" s="13" t="s">
        <v>107</v>
      </c>
      <c r="B75" s="17" t="s">
        <v>110</v>
      </c>
      <c r="C75" s="19" t="s">
        <v>145</v>
      </c>
      <c r="D75" s="20">
        <v>93</v>
      </c>
      <c r="M75">
        <v>62</v>
      </c>
      <c r="N75">
        <v>0</v>
      </c>
    </row>
    <row r="76" spans="1:14" x14ac:dyDescent="0.3">
      <c r="A76" s="13" t="s">
        <v>107</v>
      </c>
      <c r="B76" s="17" t="s">
        <v>111</v>
      </c>
      <c r="C76" s="19" t="s">
        <v>146</v>
      </c>
      <c r="D76" s="20">
        <v>93</v>
      </c>
      <c r="M76">
        <v>63</v>
      </c>
      <c r="N76">
        <v>0</v>
      </c>
    </row>
    <row r="77" spans="1:14" x14ac:dyDescent="0.3">
      <c r="A77" s="13" t="s">
        <v>107</v>
      </c>
      <c r="B77" s="17" t="s">
        <v>112</v>
      </c>
      <c r="C77" s="19" t="s">
        <v>147</v>
      </c>
      <c r="D77" s="20">
        <v>93</v>
      </c>
      <c r="M77">
        <v>64</v>
      </c>
      <c r="N77">
        <v>0</v>
      </c>
    </row>
    <row r="78" spans="1:14" x14ac:dyDescent="0.3">
      <c r="A78" s="13" t="s">
        <v>107</v>
      </c>
      <c r="B78" s="17" t="s">
        <v>113</v>
      </c>
      <c r="C78" s="19" t="s">
        <v>148</v>
      </c>
      <c r="D78" s="20">
        <v>93</v>
      </c>
      <c r="M78">
        <v>65</v>
      </c>
      <c r="N78">
        <v>0</v>
      </c>
    </row>
    <row r="79" spans="1:14" x14ac:dyDescent="0.3">
      <c r="A79" s="13" t="s">
        <v>107</v>
      </c>
      <c r="B79" s="17" t="s">
        <v>114</v>
      </c>
      <c r="C79" s="19" t="s">
        <v>149</v>
      </c>
      <c r="D79" s="20">
        <v>93</v>
      </c>
      <c r="M79">
        <v>66</v>
      </c>
      <c r="N79">
        <v>0</v>
      </c>
    </row>
    <row r="80" spans="1:14" x14ac:dyDescent="0.3">
      <c r="A80" s="13" t="s">
        <v>107</v>
      </c>
      <c r="B80" s="17" t="s">
        <v>115</v>
      </c>
      <c r="C80" s="19" t="s">
        <v>150</v>
      </c>
      <c r="D80" s="20">
        <v>93</v>
      </c>
      <c r="M80">
        <v>67</v>
      </c>
      <c r="N80">
        <v>0</v>
      </c>
    </row>
    <row r="81" spans="1:14" x14ac:dyDescent="0.3">
      <c r="A81" s="13" t="s">
        <v>107</v>
      </c>
      <c r="B81" s="17" t="s">
        <v>116</v>
      </c>
      <c r="C81" s="19" t="s">
        <v>151</v>
      </c>
      <c r="D81" s="20">
        <v>93</v>
      </c>
      <c r="M81">
        <v>68</v>
      </c>
      <c r="N81">
        <v>0</v>
      </c>
    </row>
    <row r="82" spans="1:14" x14ac:dyDescent="0.3">
      <c r="A82" s="13" t="s">
        <v>107</v>
      </c>
      <c r="B82" s="17" t="s">
        <v>117</v>
      </c>
      <c r="C82" s="19" t="s">
        <v>152</v>
      </c>
      <c r="D82" s="20">
        <v>93</v>
      </c>
      <c r="M82">
        <v>69</v>
      </c>
      <c r="N82">
        <v>0</v>
      </c>
    </row>
    <row r="83" spans="1:14" x14ac:dyDescent="0.3">
      <c r="A83" s="2" t="s">
        <v>107</v>
      </c>
      <c r="B83" s="18" t="s">
        <v>108</v>
      </c>
      <c r="C83" s="6" t="s">
        <v>2</v>
      </c>
      <c r="D83" s="2">
        <v>94</v>
      </c>
      <c r="M83">
        <v>70</v>
      </c>
      <c r="N83">
        <v>0</v>
      </c>
    </row>
    <row r="84" spans="1:14" x14ac:dyDescent="0.3">
      <c r="A84" s="2" t="s">
        <v>107</v>
      </c>
      <c r="B84" s="18">
        <v>10</v>
      </c>
      <c r="C84" s="6" t="s">
        <v>153</v>
      </c>
      <c r="D84" s="2">
        <v>94</v>
      </c>
      <c r="M84">
        <v>71</v>
      </c>
      <c r="N84">
        <v>0</v>
      </c>
    </row>
    <row r="85" spans="1:14" x14ac:dyDescent="0.3">
      <c r="A85" s="2" t="s">
        <v>107</v>
      </c>
      <c r="B85" s="18" t="s">
        <v>110</v>
      </c>
      <c r="C85" s="6" t="s">
        <v>53</v>
      </c>
      <c r="D85" s="2">
        <v>94</v>
      </c>
      <c r="M85">
        <v>72</v>
      </c>
      <c r="N85">
        <v>0</v>
      </c>
    </row>
    <row r="86" spans="1:14" x14ac:dyDescent="0.3">
      <c r="A86" s="2" t="s">
        <v>107</v>
      </c>
      <c r="B86" s="18" t="s">
        <v>111</v>
      </c>
      <c r="C86" s="6" t="s">
        <v>154</v>
      </c>
      <c r="D86" s="2">
        <v>94</v>
      </c>
      <c r="M86">
        <v>73</v>
      </c>
      <c r="N86">
        <v>0</v>
      </c>
    </row>
    <row r="87" spans="1:14" x14ac:dyDescent="0.3">
      <c r="A87" s="2" t="s">
        <v>107</v>
      </c>
      <c r="B87" s="18">
        <v>40</v>
      </c>
      <c r="C87" s="6" t="s">
        <v>53</v>
      </c>
      <c r="D87" s="2">
        <v>94</v>
      </c>
      <c r="M87">
        <v>74</v>
      </c>
      <c r="N87">
        <v>0</v>
      </c>
    </row>
    <row r="88" spans="1:14" x14ac:dyDescent="0.3">
      <c r="A88" s="2" t="s">
        <v>107</v>
      </c>
      <c r="B88" s="18" t="s">
        <v>113</v>
      </c>
      <c r="C88" s="6" t="s">
        <v>155</v>
      </c>
      <c r="D88" s="2">
        <v>94</v>
      </c>
      <c r="M88">
        <v>75</v>
      </c>
      <c r="N88">
        <v>0</v>
      </c>
    </row>
    <row r="89" spans="1:14" x14ac:dyDescent="0.3">
      <c r="A89" s="2" t="s">
        <v>107</v>
      </c>
      <c r="B89" s="18" t="s">
        <v>114</v>
      </c>
      <c r="C89" s="6" t="s">
        <v>53</v>
      </c>
      <c r="D89" s="2">
        <v>94</v>
      </c>
      <c r="M89">
        <v>76</v>
      </c>
      <c r="N89">
        <v>0</v>
      </c>
    </row>
    <row r="90" spans="1:14" x14ac:dyDescent="0.3">
      <c r="A90" s="2" t="s">
        <v>107</v>
      </c>
      <c r="B90" s="18">
        <v>70</v>
      </c>
      <c r="C90" s="6" t="s">
        <v>156</v>
      </c>
      <c r="D90" s="2">
        <v>94</v>
      </c>
      <c r="M90">
        <v>77</v>
      </c>
      <c r="N90">
        <v>0</v>
      </c>
    </row>
    <row r="91" spans="1:14" x14ac:dyDescent="0.3">
      <c r="A91" s="13" t="s">
        <v>107</v>
      </c>
      <c r="B91" s="17" t="s">
        <v>108</v>
      </c>
      <c r="C91" s="19" t="s">
        <v>2</v>
      </c>
      <c r="D91" s="20">
        <v>95</v>
      </c>
      <c r="M91">
        <v>78</v>
      </c>
      <c r="N91">
        <v>0</v>
      </c>
    </row>
    <row r="92" spans="1:14" x14ac:dyDescent="0.3">
      <c r="A92" s="13" t="s">
        <v>107</v>
      </c>
      <c r="B92" s="17" t="s">
        <v>109</v>
      </c>
      <c r="C92" s="19" t="s">
        <v>157</v>
      </c>
      <c r="D92" s="20">
        <v>95</v>
      </c>
      <c r="M92">
        <v>79</v>
      </c>
      <c r="N92">
        <v>0</v>
      </c>
    </row>
    <row r="93" spans="1:14" ht="33" x14ac:dyDescent="0.3">
      <c r="A93" s="13" t="s">
        <v>107</v>
      </c>
      <c r="B93" s="17" t="s">
        <v>110</v>
      </c>
      <c r="C93" s="19" t="s">
        <v>158</v>
      </c>
      <c r="D93" s="20">
        <v>95</v>
      </c>
      <c r="M93">
        <v>80</v>
      </c>
      <c r="N93">
        <v>0</v>
      </c>
    </row>
    <row r="94" spans="1:14" ht="33" x14ac:dyDescent="0.3">
      <c r="A94" s="13" t="s">
        <v>107</v>
      </c>
      <c r="B94" s="17" t="s">
        <v>111</v>
      </c>
      <c r="C94" s="19" t="s">
        <v>159</v>
      </c>
      <c r="D94" s="20">
        <v>95</v>
      </c>
      <c r="M94">
        <v>81</v>
      </c>
      <c r="N94">
        <v>0</v>
      </c>
    </row>
    <row r="95" spans="1:14" ht="33" x14ac:dyDescent="0.3">
      <c r="A95" s="13" t="s">
        <v>107</v>
      </c>
      <c r="B95" s="17" t="s">
        <v>112</v>
      </c>
      <c r="C95" s="19" t="s">
        <v>160</v>
      </c>
      <c r="D95" s="20">
        <v>95</v>
      </c>
      <c r="M95">
        <v>82</v>
      </c>
      <c r="N95">
        <v>0</v>
      </c>
    </row>
    <row r="96" spans="1:14" x14ac:dyDescent="0.3">
      <c r="A96" s="13" t="s">
        <v>107</v>
      </c>
      <c r="B96" s="17" t="s">
        <v>113</v>
      </c>
      <c r="C96" s="21" t="s">
        <v>161</v>
      </c>
      <c r="D96" s="20">
        <v>95</v>
      </c>
      <c r="M96">
        <v>83</v>
      </c>
      <c r="N96">
        <v>0</v>
      </c>
    </row>
    <row r="97" spans="1:24" ht="49.5" x14ac:dyDescent="0.3">
      <c r="A97" s="13" t="s">
        <v>107</v>
      </c>
      <c r="B97" s="17" t="s">
        <v>114</v>
      </c>
      <c r="C97" s="19" t="s">
        <v>162</v>
      </c>
      <c r="D97" s="20">
        <v>95</v>
      </c>
      <c r="M97">
        <v>84</v>
      </c>
      <c r="N97">
        <v>0</v>
      </c>
    </row>
    <row r="98" spans="1:24" x14ac:dyDescent="0.3">
      <c r="A98" s="13" t="s">
        <v>107</v>
      </c>
      <c r="B98" s="17" t="s">
        <v>115</v>
      </c>
      <c r="C98" s="19" t="s">
        <v>163</v>
      </c>
      <c r="D98" s="20">
        <v>95</v>
      </c>
      <c r="M98">
        <v>85</v>
      </c>
      <c r="N98">
        <v>0</v>
      </c>
    </row>
    <row r="99" spans="1:24" x14ac:dyDescent="0.3">
      <c r="A99" s="2" t="s">
        <v>164</v>
      </c>
      <c r="B99" s="12"/>
      <c r="M99">
        <v>86</v>
      </c>
      <c r="N99">
        <v>0</v>
      </c>
    </row>
    <row r="100" spans="1:24" x14ac:dyDescent="0.3">
      <c r="A100" s="22" t="s">
        <v>123</v>
      </c>
      <c r="B100" s="12" t="s">
        <v>108</v>
      </c>
      <c r="C100" s="6" t="s">
        <v>165</v>
      </c>
      <c r="D100" s="20">
        <v>40</v>
      </c>
      <c r="M100">
        <v>87</v>
      </c>
      <c r="N100">
        <v>0</v>
      </c>
    </row>
    <row r="101" spans="1:24" x14ac:dyDescent="0.3">
      <c r="A101" s="22" t="s">
        <v>123</v>
      </c>
      <c r="B101" s="12" t="s">
        <v>109</v>
      </c>
      <c r="C101" s="6" t="s">
        <v>166</v>
      </c>
      <c r="D101" s="20">
        <v>40</v>
      </c>
      <c r="M101">
        <v>88</v>
      </c>
      <c r="N101">
        <v>0</v>
      </c>
    </row>
    <row r="102" spans="1:24" x14ac:dyDescent="0.3">
      <c r="A102" s="22" t="s">
        <v>123</v>
      </c>
      <c r="B102" s="12" t="s">
        <v>110</v>
      </c>
      <c r="C102" s="6" t="s">
        <v>167</v>
      </c>
      <c r="D102" s="20">
        <v>40</v>
      </c>
      <c r="M102">
        <v>89</v>
      </c>
      <c r="N102">
        <v>0</v>
      </c>
    </row>
    <row r="103" spans="1:24" ht="82.5" x14ac:dyDescent="0.3">
      <c r="A103" s="22" t="s">
        <v>123</v>
      </c>
      <c r="B103" s="12" t="s">
        <v>108</v>
      </c>
      <c r="C103" s="6" t="s">
        <v>168</v>
      </c>
      <c r="D103" s="20">
        <v>41</v>
      </c>
      <c r="M103">
        <v>90</v>
      </c>
      <c r="N103" s="2" t="s">
        <v>205</v>
      </c>
      <c r="O103" s="20" t="s">
        <v>2</v>
      </c>
      <c r="P103" s="19" t="s">
        <v>130</v>
      </c>
      <c r="Q103" s="19" t="s">
        <v>131</v>
      </c>
      <c r="R103" s="21" t="s">
        <v>132</v>
      </c>
      <c r="S103" s="19" t="s">
        <v>133</v>
      </c>
    </row>
    <row r="104" spans="1:24" ht="33" x14ac:dyDescent="0.3">
      <c r="A104" s="22" t="s">
        <v>123</v>
      </c>
      <c r="B104" s="12" t="s">
        <v>109</v>
      </c>
      <c r="C104" s="6" t="s">
        <v>169</v>
      </c>
      <c r="D104" s="20">
        <v>41</v>
      </c>
      <c r="M104">
        <v>91</v>
      </c>
      <c r="N104" s="2" t="s">
        <v>125</v>
      </c>
      <c r="O104" s="15" t="s">
        <v>134</v>
      </c>
    </row>
    <row r="105" spans="1:24" ht="66" x14ac:dyDescent="0.3">
      <c r="A105" s="22" t="s">
        <v>123</v>
      </c>
      <c r="B105" s="12" t="s">
        <v>108</v>
      </c>
      <c r="C105" s="6" t="s">
        <v>170</v>
      </c>
      <c r="D105" s="20">
        <v>42</v>
      </c>
      <c r="M105">
        <v>92</v>
      </c>
      <c r="N105" s="2" t="s">
        <v>126</v>
      </c>
      <c r="O105" s="6" t="s">
        <v>135</v>
      </c>
      <c r="P105" s="6" t="s">
        <v>136</v>
      </c>
      <c r="Q105" s="6" t="s">
        <v>137</v>
      </c>
      <c r="R105" s="6" t="s">
        <v>138</v>
      </c>
      <c r="S105" s="6" t="s">
        <v>139</v>
      </c>
      <c r="T105" s="6" t="s">
        <v>140</v>
      </c>
      <c r="U105" s="6" t="s">
        <v>141</v>
      </c>
      <c r="V105" t="s">
        <v>142</v>
      </c>
      <c r="W105" s="6" t="s">
        <v>143</v>
      </c>
    </row>
    <row r="106" spans="1:24" ht="49.5" x14ac:dyDescent="0.3">
      <c r="A106" s="22" t="s">
        <v>123</v>
      </c>
      <c r="B106" s="12" t="s">
        <v>109</v>
      </c>
      <c r="C106" s="6" t="s">
        <v>171</v>
      </c>
      <c r="D106" s="20">
        <v>42</v>
      </c>
      <c r="M106">
        <v>93</v>
      </c>
      <c r="N106" s="2" t="s">
        <v>127</v>
      </c>
      <c r="O106" s="19" t="s">
        <v>135</v>
      </c>
      <c r="P106" s="19" t="s">
        <v>144</v>
      </c>
      <c r="Q106" s="19" t="s">
        <v>145</v>
      </c>
      <c r="R106" s="19" t="s">
        <v>146</v>
      </c>
      <c r="S106" s="19" t="s">
        <v>147</v>
      </c>
      <c r="T106" s="19" t="s">
        <v>148</v>
      </c>
      <c r="U106" s="19" t="s">
        <v>149</v>
      </c>
      <c r="V106" s="19" t="s">
        <v>150</v>
      </c>
      <c r="W106" s="19" t="s">
        <v>151</v>
      </c>
      <c r="X106" s="19" t="s">
        <v>152</v>
      </c>
    </row>
    <row r="107" spans="1:24" ht="49.5" x14ac:dyDescent="0.3">
      <c r="A107" s="22" t="s">
        <v>123</v>
      </c>
      <c r="B107" s="12" t="s">
        <v>110</v>
      </c>
      <c r="C107" s="6" t="s">
        <v>172</v>
      </c>
      <c r="D107" s="20">
        <v>42</v>
      </c>
      <c r="M107">
        <v>94</v>
      </c>
      <c r="N107" s="2" t="s">
        <v>128</v>
      </c>
      <c r="O107" s="6" t="s">
        <v>2</v>
      </c>
      <c r="P107" s="6" t="s">
        <v>153</v>
      </c>
      <c r="Q107" s="6" t="s">
        <v>53</v>
      </c>
      <c r="R107" s="6" t="s">
        <v>154</v>
      </c>
      <c r="S107" s="6" t="s">
        <v>53</v>
      </c>
      <c r="T107" s="6" t="s">
        <v>155</v>
      </c>
      <c r="U107" s="6" t="s">
        <v>53</v>
      </c>
      <c r="V107" s="6" t="s">
        <v>156</v>
      </c>
    </row>
    <row r="108" spans="1:24" ht="82.5" x14ac:dyDescent="0.3">
      <c r="A108" s="22" t="s">
        <v>123</v>
      </c>
      <c r="B108" s="12" t="s">
        <v>111</v>
      </c>
      <c r="C108" s="6" t="s">
        <v>173</v>
      </c>
      <c r="D108" s="20">
        <v>42</v>
      </c>
      <c r="M108">
        <v>95</v>
      </c>
      <c r="N108" s="2" t="s">
        <v>129</v>
      </c>
      <c r="O108" s="19" t="s">
        <v>2</v>
      </c>
      <c r="P108" s="19" t="s">
        <v>157</v>
      </c>
      <c r="Q108" s="19" t="s">
        <v>158</v>
      </c>
      <c r="R108" s="19" t="s">
        <v>159</v>
      </c>
      <c r="S108" s="19" t="s">
        <v>160</v>
      </c>
      <c r="T108" s="21" t="s">
        <v>161</v>
      </c>
      <c r="U108" s="19" t="s">
        <v>162</v>
      </c>
      <c r="V108" s="19" t="s">
        <v>163</v>
      </c>
    </row>
    <row r="109" spans="1:24" x14ac:dyDescent="0.3">
      <c r="A109" s="22" t="s">
        <v>123</v>
      </c>
      <c r="B109" s="12" t="s">
        <v>108</v>
      </c>
      <c r="C109" s="23" t="s">
        <v>174</v>
      </c>
      <c r="D109" s="20">
        <v>43</v>
      </c>
      <c r="M109">
        <v>96</v>
      </c>
      <c r="N109">
        <v>0</v>
      </c>
    </row>
    <row r="110" spans="1:24" x14ac:dyDescent="0.3">
      <c r="A110" s="22" t="s">
        <v>123</v>
      </c>
      <c r="B110" s="12">
        <v>10</v>
      </c>
      <c r="C110" s="6" t="s">
        <v>175</v>
      </c>
      <c r="D110" s="20">
        <v>43</v>
      </c>
      <c r="M110">
        <v>97</v>
      </c>
      <c r="N110">
        <v>0</v>
      </c>
    </row>
    <row r="111" spans="1:24" x14ac:dyDescent="0.3">
      <c r="A111" s="22" t="s">
        <v>123</v>
      </c>
      <c r="B111" s="12" t="s">
        <v>108</v>
      </c>
      <c r="C111" s="6" t="s">
        <v>193</v>
      </c>
      <c r="D111" s="20">
        <v>44</v>
      </c>
      <c r="M111">
        <v>98</v>
      </c>
      <c r="N111">
        <v>0</v>
      </c>
    </row>
    <row r="112" spans="1:24" x14ac:dyDescent="0.3">
      <c r="A112" s="22" t="s">
        <v>123</v>
      </c>
      <c r="B112" s="12" t="s">
        <v>109</v>
      </c>
      <c r="C112" s="23" t="s">
        <v>194</v>
      </c>
      <c r="D112" s="20">
        <v>45</v>
      </c>
      <c r="M112">
        <v>99</v>
      </c>
      <c r="N112">
        <v>0</v>
      </c>
    </row>
    <row r="113" spans="1:14" x14ac:dyDescent="0.3">
      <c r="A113" s="2"/>
      <c r="M113">
        <v>100</v>
      </c>
      <c r="N113">
        <v>0</v>
      </c>
    </row>
    <row r="114" spans="1:14" x14ac:dyDescent="0.3">
      <c r="A114" s="2"/>
      <c r="M114">
        <v>101</v>
      </c>
      <c r="N114">
        <v>0</v>
      </c>
    </row>
    <row r="115" spans="1:14" x14ac:dyDescent="0.3">
      <c r="A115" s="2"/>
      <c r="B115" s="12"/>
    </row>
    <row r="116" spans="1:14" x14ac:dyDescent="0.3">
      <c r="B116" s="12"/>
    </row>
    <row r="117" spans="1:14" x14ac:dyDescent="0.3">
      <c r="B117" s="12"/>
    </row>
    <row r="118" spans="1:14" x14ac:dyDescent="0.3">
      <c r="B118" s="12"/>
    </row>
    <row r="119" spans="1:14" x14ac:dyDescent="0.3">
      <c r="B119" s="12"/>
    </row>
    <row r="120" spans="1:14" x14ac:dyDescent="0.3">
      <c r="B120" s="12"/>
    </row>
    <row r="121" spans="1:14" x14ac:dyDescent="0.3">
      <c r="B121" s="12"/>
    </row>
    <row r="122" spans="1:14" x14ac:dyDescent="0.3">
      <c r="B122" s="12"/>
    </row>
    <row r="123" spans="1:14" x14ac:dyDescent="0.3">
      <c r="B123" s="12"/>
    </row>
    <row r="124" spans="1:14" x14ac:dyDescent="0.3">
      <c r="B124" s="12"/>
    </row>
    <row r="125" spans="1:14" x14ac:dyDescent="0.3">
      <c r="B125" s="12"/>
    </row>
    <row r="126" spans="1:14" x14ac:dyDescent="0.3">
      <c r="B126" s="12"/>
    </row>
    <row r="127" spans="1:14" x14ac:dyDescent="0.3">
      <c r="B127" s="12"/>
    </row>
    <row r="128" spans="1:14" x14ac:dyDescent="0.3">
      <c r="B128" s="12"/>
    </row>
    <row r="129" spans="2:2" x14ac:dyDescent="0.3">
      <c r="B129" s="12"/>
    </row>
    <row r="130" spans="2:2" x14ac:dyDescent="0.3">
      <c r="B130" s="12"/>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Excel 4.0 Makroları</vt:lpstr>
      </vt:variant>
      <vt:variant>
        <vt:i4>1</vt:i4>
      </vt:variant>
    </vt:vector>
  </HeadingPairs>
  <TitlesOfParts>
    <vt:vector size="6" baseType="lpstr">
      <vt:lpstr>Selection</vt:lpstr>
      <vt:lpstr>Output</vt:lpstr>
      <vt:lpstr>Database</vt:lpstr>
      <vt:lpstr>Sayfa3</vt:lpstr>
      <vt:lpstr>Codes</vt:lpstr>
      <vt:lpstr>Makro1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Melike Özden</dc:creator>
  <cp:lastModifiedBy>Melike Özden</cp:lastModifiedBy>
  <dcterms:created xsi:type="dcterms:W3CDTF">2025-09-22T08:19:44Z</dcterms:created>
  <dcterms:modified xsi:type="dcterms:W3CDTF">2025-09-26T14:35:01Z</dcterms:modified>
</cp:coreProperties>
</file>